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defaultThemeVersion="124226"/>
  <mc:AlternateContent xmlns:mc="http://schemas.openxmlformats.org/markup-compatibility/2006">
    <mc:Choice Requires="x15">
      <x15ac:absPath xmlns:x15ac="http://schemas.microsoft.com/office/spreadsheetml/2010/11/ac" url="C:\Users\cetinkam\Desktop\ai\ANNEXES\TD\"/>
    </mc:Choice>
  </mc:AlternateContent>
  <xr:revisionPtr revIDLastSave="0" documentId="13_ncr:1_{59C22038-87DE-4102-A804-2D00E2241BD5}" xr6:coauthVersionLast="47" xr6:coauthVersionMax="47" xr10:uidLastSave="{00000000-0000-0000-0000-000000000000}"/>
  <bookViews>
    <workbookView xWindow="-120" yWindow="-120" windowWidth="29040" windowHeight="17520" tabRatio="952" activeTab="8" xr2:uid="{00000000-000D-0000-FFFF-FFFF00000000}"/>
  </bookViews>
  <sheets>
    <sheet name="Sommaire" sheetId="9" r:id="rId1"/>
    <sheet name="Définitions" sheetId="8" r:id="rId2"/>
    <sheet name="écosysteme" sheetId="15" r:id="rId3"/>
    <sheet name="segment" sheetId="16" r:id="rId4"/>
    <sheet name="logiciel" sheetId="2" r:id="rId5"/>
    <sheet name="genreConsole" sheetId="13" r:id="rId6"/>
    <sheet name="genrePC" sheetId="5" r:id="rId7"/>
    <sheet name="PEGIConsole" sheetId="7" r:id="rId8"/>
    <sheet name="PEGIPC" sheetId="14" r:id="rId9"/>
    <sheet name="ESRI_MAPINFO_SHEET" sheetId="12" state="veryHidden" r:id="rId10"/>
  </sheets>
  <definedNames>
    <definedName name="_xlnm._FilterDatabase" localSheetId="5" hidden="1">genreConsole!$A$66:$I$66</definedName>
    <definedName name="_xlnm._FilterDatabase" localSheetId="6" hidden="1">genrePC!$A$66:$I$66</definedName>
    <definedName name="_xlnm.Print_Titles" localSheetId="2">écosysteme!$4:$5</definedName>
    <definedName name="_xlnm.Print_Titles" localSheetId="5">genreConsole!$4:$5</definedName>
    <definedName name="_xlnm.Print_Titles" localSheetId="6">genrePC!$4:$5</definedName>
    <definedName name="_xlnm.Print_Titles" localSheetId="4">logiciel!$4:$5</definedName>
    <definedName name="_xlnm.Print_Titles" localSheetId="3">segment!$4:$5</definedName>
    <definedName name="_xlnm.Print_Area" localSheetId="2">écosysteme!$A$4:$A$22</definedName>
    <definedName name="_xlnm.Print_Area" localSheetId="5">genreConsole!$A$4:$A$84</definedName>
    <definedName name="_xlnm.Print_Area" localSheetId="6">genrePC!$A$4:$A$84</definedName>
    <definedName name="_xlnm.Print_Area" localSheetId="4">logiciel!$A$4:$A$22</definedName>
    <definedName name="_xlnm.Print_Area" localSheetId="7">PEGIConsole!$A$4:$A$50</definedName>
    <definedName name="_xlnm.Print_Area" localSheetId="8">PEGIPC!$A$4:$A$50</definedName>
    <definedName name="_xlnm.Print_Area" localSheetId="3">segment!$A$4:$A$24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71" i="5" l="1"/>
  <c r="I71" i="5"/>
  <c r="F71" i="5"/>
  <c r="G71" i="5"/>
  <c r="H71" i="5"/>
  <c r="F80" i="5"/>
  <c r="G80" i="5"/>
  <c r="H80" i="5"/>
  <c r="I80" i="5"/>
  <c r="E80" i="5"/>
  <c r="F79" i="5"/>
  <c r="G79" i="5"/>
  <c r="H79" i="5"/>
  <c r="I79" i="5"/>
  <c r="E79" i="5"/>
  <c r="F78" i="5"/>
  <c r="G78" i="5"/>
  <c r="H78" i="5"/>
  <c r="I78" i="5"/>
  <c r="E78" i="5"/>
  <c r="F77" i="5"/>
  <c r="G77" i="5"/>
  <c r="H77" i="5"/>
  <c r="I77" i="5"/>
  <c r="E77" i="5"/>
  <c r="F76" i="5"/>
  <c r="G76" i="5"/>
  <c r="H76" i="5"/>
  <c r="I76" i="5"/>
  <c r="E76" i="5"/>
  <c r="F75" i="5"/>
  <c r="G75" i="5"/>
  <c r="H75" i="5"/>
  <c r="I75" i="5"/>
  <c r="E75" i="5"/>
  <c r="F74" i="5"/>
  <c r="G74" i="5"/>
  <c r="H74" i="5"/>
  <c r="I74" i="5"/>
  <c r="E74" i="5"/>
  <c r="F73" i="5"/>
  <c r="G73" i="5"/>
  <c r="H73" i="5"/>
  <c r="I73" i="5"/>
  <c r="E73" i="5"/>
  <c r="F72" i="5"/>
  <c r="I72" i="5"/>
  <c r="G72" i="5"/>
  <c r="H72" i="5"/>
  <c r="E72" i="5"/>
  <c r="F70" i="5"/>
  <c r="G70" i="5"/>
  <c r="H70" i="5"/>
  <c r="I70" i="5"/>
  <c r="E70" i="5"/>
  <c r="F69" i="5"/>
  <c r="G69" i="5"/>
  <c r="H69" i="5"/>
  <c r="I69" i="5"/>
  <c r="E69" i="5"/>
  <c r="F68" i="5"/>
  <c r="G68" i="5"/>
  <c r="H68" i="5"/>
  <c r="I68" i="5"/>
  <c r="E68" i="5"/>
  <c r="F67" i="5"/>
  <c r="G67" i="5"/>
  <c r="H67" i="5"/>
  <c r="I67" i="5"/>
  <c r="E67" i="5"/>
  <c r="E81" i="5"/>
  <c r="F61" i="5"/>
  <c r="G61" i="5"/>
  <c r="H61" i="5"/>
  <c r="I61" i="5"/>
  <c r="E61" i="5"/>
  <c r="F60" i="5"/>
  <c r="G60" i="5"/>
  <c r="H60" i="5"/>
  <c r="I60" i="5"/>
  <c r="E60" i="5"/>
  <c r="F59" i="5"/>
  <c r="G59" i="5"/>
  <c r="H59" i="5"/>
  <c r="I59" i="5"/>
  <c r="E59" i="5"/>
  <c r="F58" i="5"/>
  <c r="G58" i="5"/>
  <c r="H58" i="5"/>
  <c r="I58" i="5"/>
  <c r="E58" i="5"/>
  <c r="F57" i="5"/>
  <c r="G57" i="5"/>
  <c r="H57" i="5"/>
  <c r="I57" i="5"/>
  <c r="E57" i="5"/>
  <c r="F56" i="5"/>
  <c r="G56" i="5"/>
  <c r="H56" i="5"/>
  <c r="I56" i="5"/>
  <c r="E56" i="5"/>
  <c r="F55" i="5"/>
  <c r="G55" i="5"/>
  <c r="H55" i="5"/>
  <c r="I55" i="5"/>
  <c r="E55" i="5"/>
  <c r="F54" i="5"/>
  <c r="G54" i="5"/>
  <c r="H54" i="5"/>
  <c r="I54" i="5"/>
  <c r="E54" i="5"/>
  <c r="E53" i="5"/>
  <c r="F52" i="5"/>
  <c r="G52" i="5"/>
  <c r="H52" i="5"/>
  <c r="I52" i="5"/>
  <c r="E52" i="5"/>
  <c r="F51" i="5"/>
  <c r="G51" i="5"/>
  <c r="H51" i="5"/>
  <c r="I51" i="5"/>
  <c r="E51" i="5"/>
  <c r="E50" i="5"/>
  <c r="I49" i="5"/>
  <c r="E49" i="5"/>
  <c r="F48" i="5"/>
  <c r="G48" i="5"/>
  <c r="H48" i="5"/>
  <c r="I48" i="5"/>
  <c r="E48" i="5"/>
  <c r="F53" i="5"/>
  <c r="G53" i="5"/>
  <c r="H53" i="5"/>
  <c r="I53" i="5"/>
  <c r="F50" i="5"/>
  <c r="G50" i="5"/>
  <c r="H50" i="5"/>
  <c r="I50" i="5"/>
  <c r="F49" i="5"/>
  <c r="G49" i="5"/>
  <c r="H49" i="5"/>
  <c r="B81" i="13"/>
  <c r="C80" i="13"/>
  <c r="D80" i="13"/>
  <c r="E80" i="13"/>
  <c r="F80" i="13"/>
  <c r="G80" i="13"/>
  <c r="H80" i="13"/>
  <c r="I80" i="13"/>
  <c r="B80" i="13"/>
  <c r="C79" i="13"/>
  <c r="D79" i="13"/>
  <c r="E79" i="13"/>
  <c r="F79" i="13"/>
  <c r="G79" i="13"/>
  <c r="H79" i="13"/>
  <c r="I79" i="13"/>
  <c r="B79" i="13"/>
  <c r="C78" i="13"/>
  <c r="D78" i="13"/>
  <c r="E78" i="13"/>
  <c r="F78" i="13"/>
  <c r="G78" i="13"/>
  <c r="H78" i="13"/>
  <c r="I78" i="13"/>
  <c r="B78" i="13"/>
  <c r="C77" i="13"/>
  <c r="D77" i="13"/>
  <c r="E77" i="13"/>
  <c r="F77" i="13"/>
  <c r="G77" i="13"/>
  <c r="H77" i="13"/>
  <c r="I77" i="13"/>
  <c r="B76" i="13"/>
  <c r="C75" i="13"/>
  <c r="D75" i="13"/>
  <c r="E75" i="13"/>
  <c r="F75" i="13"/>
  <c r="G75" i="13"/>
  <c r="H75" i="13"/>
  <c r="I75" i="13"/>
  <c r="B75" i="13"/>
  <c r="C74" i="13"/>
  <c r="D74" i="13"/>
  <c r="E74" i="13"/>
  <c r="F74" i="13"/>
  <c r="G74" i="13"/>
  <c r="H74" i="13"/>
  <c r="I74" i="13"/>
  <c r="B74" i="13"/>
  <c r="C73" i="13"/>
  <c r="D73" i="13"/>
  <c r="E73" i="13"/>
  <c r="F73" i="13"/>
  <c r="G73" i="13"/>
  <c r="H73" i="13"/>
  <c r="I73" i="13"/>
  <c r="B73" i="13"/>
  <c r="C72" i="13"/>
  <c r="D72" i="13"/>
  <c r="E72" i="13"/>
  <c r="F72" i="13"/>
  <c r="G72" i="13"/>
  <c r="H72" i="13"/>
  <c r="I72" i="13"/>
  <c r="B72" i="13"/>
  <c r="C71" i="13"/>
  <c r="D71" i="13"/>
  <c r="E71" i="13"/>
  <c r="F71" i="13"/>
  <c r="G71" i="13"/>
  <c r="H71" i="13"/>
  <c r="I71" i="13"/>
  <c r="B71" i="13"/>
  <c r="C70" i="13"/>
  <c r="D70" i="13"/>
  <c r="E70" i="13"/>
  <c r="F70" i="13"/>
  <c r="G70" i="13"/>
  <c r="H70" i="13"/>
  <c r="I70" i="13"/>
  <c r="B70" i="13"/>
  <c r="H69" i="13"/>
  <c r="C69" i="13"/>
  <c r="D69" i="13"/>
  <c r="E69" i="13"/>
  <c r="F69" i="13"/>
  <c r="G69" i="13"/>
  <c r="I69" i="13"/>
  <c r="B69" i="13"/>
  <c r="C68" i="13"/>
  <c r="D68" i="13"/>
  <c r="E68" i="13"/>
  <c r="F68" i="13"/>
  <c r="G68" i="13"/>
  <c r="H68" i="13"/>
  <c r="I68" i="13"/>
  <c r="B68" i="13"/>
  <c r="C67" i="13"/>
  <c r="D67" i="13"/>
  <c r="E67" i="13"/>
  <c r="F67" i="13"/>
  <c r="G67" i="13"/>
  <c r="H67" i="13"/>
  <c r="I67" i="13"/>
  <c r="B67" i="13"/>
  <c r="I48" i="13"/>
  <c r="I50" i="13"/>
  <c r="C61" i="13"/>
  <c r="D61" i="13"/>
  <c r="E61" i="13"/>
  <c r="F61" i="13"/>
  <c r="G61" i="13"/>
  <c r="H61" i="13"/>
  <c r="I61" i="13"/>
  <c r="B61" i="13"/>
  <c r="C60" i="13"/>
  <c r="D60" i="13"/>
  <c r="E60" i="13"/>
  <c r="F60" i="13"/>
  <c r="G60" i="13"/>
  <c r="H60" i="13"/>
  <c r="I60" i="13"/>
  <c r="B60" i="13"/>
  <c r="C59" i="13"/>
  <c r="D59" i="13"/>
  <c r="E59" i="13"/>
  <c r="F59" i="13"/>
  <c r="G59" i="13"/>
  <c r="H59" i="13"/>
  <c r="I59" i="13"/>
  <c r="B59" i="13"/>
  <c r="C58" i="13"/>
  <c r="D58" i="13"/>
  <c r="E58" i="13"/>
  <c r="F58" i="13"/>
  <c r="G58" i="13"/>
  <c r="H58" i="13"/>
  <c r="I58" i="13"/>
  <c r="B58" i="13"/>
  <c r="C57" i="13"/>
  <c r="D57" i="13"/>
  <c r="E57" i="13"/>
  <c r="F57" i="13"/>
  <c r="G57" i="13"/>
  <c r="H57" i="13"/>
  <c r="I57" i="13"/>
  <c r="B57" i="13"/>
  <c r="C56" i="13"/>
  <c r="D56" i="13"/>
  <c r="E56" i="13"/>
  <c r="F56" i="13"/>
  <c r="G56" i="13"/>
  <c r="H56" i="13"/>
  <c r="I56" i="13"/>
  <c r="B56" i="13"/>
  <c r="C55" i="13"/>
  <c r="D55" i="13"/>
  <c r="E55" i="13"/>
  <c r="F55" i="13"/>
  <c r="G55" i="13"/>
  <c r="H55" i="13"/>
  <c r="I55" i="13"/>
  <c r="B55" i="13"/>
  <c r="B53" i="13"/>
  <c r="C54" i="13"/>
  <c r="D54" i="13"/>
  <c r="E54" i="13"/>
  <c r="F54" i="13"/>
  <c r="G54" i="13"/>
  <c r="H54" i="13"/>
  <c r="I54" i="13"/>
  <c r="B54" i="13"/>
  <c r="C53" i="13"/>
  <c r="D53" i="13"/>
  <c r="E53" i="13"/>
  <c r="F53" i="13"/>
  <c r="G53" i="13"/>
  <c r="H53" i="13"/>
  <c r="I53" i="13"/>
  <c r="C52" i="13"/>
  <c r="D52" i="13"/>
  <c r="E52" i="13"/>
  <c r="F52" i="13"/>
  <c r="G52" i="13"/>
  <c r="H52" i="13"/>
  <c r="I52" i="13"/>
  <c r="B52" i="13"/>
  <c r="I51" i="13"/>
  <c r="C51" i="13"/>
  <c r="D51" i="13"/>
  <c r="E51" i="13"/>
  <c r="F51" i="13"/>
  <c r="G51" i="13"/>
  <c r="H51" i="13"/>
  <c r="B51" i="13"/>
  <c r="C50" i="13"/>
  <c r="D50" i="13"/>
  <c r="E50" i="13"/>
  <c r="F50" i="13"/>
  <c r="G50" i="13"/>
  <c r="H50" i="13"/>
  <c r="B50" i="13"/>
  <c r="C49" i="13"/>
  <c r="D49" i="13"/>
  <c r="E49" i="13"/>
  <c r="F49" i="13"/>
  <c r="G49" i="13"/>
  <c r="H49" i="13"/>
  <c r="I49" i="13"/>
  <c r="B49" i="13"/>
  <c r="D48" i="13"/>
  <c r="E48" i="13"/>
  <c r="F48" i="13"/>
  <c r="G48" i="13"/>
  <c r="H48" i="13"/>
  <c r="C48" i="13"/>
  <c r="B48" i="13"/>
  <c r="I62" i="5"/>
  <c r="H62" i="5"/>
  <c r="G62" i="5"/>
  <c r="H76" i="13"/>
  <c r="G18" i="15"/>
  <c r="H42" i="16"/>
  <c r="G42" i="16"/>
  <c r="H17" i="2"/>
  <c r="H18" i="2"/>
  <c r="H19" i="2"/>
  <c r="G18" i="2"/>
  <c r="G81" i="13"/>
  <c r="I62" i="13"/>
  <c r="H62" i="13"/>
  <c r="G62" i="13"/>
  <c r="J48" i="14" l="1"/>
  <c r="J47" i="14"/>
  <c r="J46" i="14"/>
  <c r="J45" i="14"/>
  <c r="J44" i="14"/>
  <c r="J43" i="14"/>
  <c r="J42" i="14"/>
  <c r="J37" i="14"/>
  <c r="J36" i="14"/>
  <c r="J35" i="14"/>
  <c r="J34" i="14"/>
  <c r="J33" i="14"/>
  <c r="J32" i="14"/>
  <c r="J31" i="14"/>
  <c r="I48" i="14"/>
  <c r="I47" i="14"/>
  <c r="I46" i="14"/>
  <c r="I45" i="14"/>
  <c r="I44" i="14"/>
  <c r="I43" i="14"/>
  <c r="I42" i="14"/>
  <c r="I37" i="14"/>
  <c r="I36" i="14"/>
  <c r="I35" i="14"/>
  <c r="I34" i="14"/>
  <c r="I33" i="14"/>
  <c r="I32" i="14"/>
  <c r="I31" i="14"/>
  <c r="H48" i="14"/>
  <c r="H47" i="14"/>
  <c r="H46" i="14"/>
  <c r="H45" i="14"/>
  <c r="H44" i="14"/>
  <c r="H43" i="14"/>
  <c r="H42" i="14"/>
  <c r="H37" i="14"/>
  <c r="H36" i="14"/>
  <c r="H35" i="14"/>
  <c r="H34" i="14"/>
  <c r="H33" i="14"/>
  <c r="H32" i="14"/>
  <c r="H31" i="14"/>
  <c r="J48" i="7"/>
  <c r="J47" i="7"/>
  <c r="J46" i="7"/>
  <c r="J45" i="7"/>
  <c r="J44" i="7"/>
  <c r="J43" i="7"/>
  <c r="J42" i="7"/>
  <c r="J37" i="7"/>
  <c r="J36" i="7"/>
  <c r="J35" i="7"/>
  <c r="J34" i="7"/>
  <c r="J33" i="7"/>
  <c r="J32" i="7"/>
  <c r="J31" i="7"/>
  <c r="I48" i="7"/>
  <c r="I47" i="7"/>
  <c r="I46" i="7"/>
  <c r="I45" i="7"/>
  <c r="I44" i="7"/>
  <c r="I43" i="7"/>
  <c r="I42" i="7"/>
  <c r="I37" i="7"/>
  <c r="I36" i="7"/>
  <c r="I35" i="7"/>
  <c r="I34" i="7"/>
  <c r="I33" i="7"/>
  <c r="I32" i="7"/>
  <c r="I31" i="7"/>
  <c r="H48" i="7"/>
  <c r="H47" i="7"/>
  <c r="H46" i="7"/>
  <c r="H45" i="7"/>
  <c r="H44" i="7"/>
  <c r="H43" i="7"/>
  <c r="H42" i="7"/>
  <c r="H37" i="7"/>
  <c r="H36" i="7"/>
  <c r="H35" i="7"/>
  <c r="H34" i="7"/>
  <c r="H33" i="7"/>
  <c r="H32" i="7"/>
  <c r="H31" i="7"/>
  <c r="I81" i="5" l="1"/>
  <c r="H81" i="5"/>
  <c r="G81" i="5"/>
  <c r="I81" i="13"/>
  <c r="I76" i="13"/>
  <c r="H81" i="13"/>
  <c r="G76" i="13"/>
  <c r="I19" i="2"/>
  <c r="I18" i="2"/>
  <c r="I17" i="2"/>
  <c r="G19" i="2"/>
  <c r="G17" i="2"/>
  <c r="I51" i="16"/>
  <c r="I50" i="16"/>
  <c r="I49" i="16"/>
  <c r="I48" i="16"/>
  <c r="I47" i="16"/>
  <c r="I46" i="16"/>
  <c r="I45" i="16"/>
  <c r="I44" i="16"/>
  <c r="I43" i="16"/>
  <c r="I42" i="16"/>
  <c r="I21" i="16"/>
  <c r="I20" i="16"/>
  <c r="I19" i="16"/>
  <c r="I18" i="16"/>
  <c r="H51" i="16"/>
  <c r="H50" i="16"/>
  <c r="H49" i="16"/>
  <c r="H48" i="16"/>
  <c r="H47" i="16"/>
  <c r="H46" i="16"/>
  <c r="H45" i="16"/>
  <c r="H44" i="16"/>
  <c r="H43" i="16"/>
  <c r="H21" i="16"/>
  <c r="H20" i="16"/>
  <c r="H19" i="16"/>
  <c r="H18" i="16"/>
  <c r="G51" i="16"/>
  <c r="G50" i="16"/>
  <c r="G49" i="16"/>
  <c r="G48" i="16"/>
  <c r="G47" i="16"/>
  <c r="G46" i="16"/>
  <c r="G45" i="16"/>
  <c r="G44" i="16"/>
  <c r="G43" i="16"/>
  <c r="G21" i="16"/>
  <c r="G20" i="16"/>
  <c r="G19" i="16"/>
  <c r="G18" i="16"/>
  <c r="I19" i="15"/>
  <c r="I18" i="15"/>
  <c r="I17" i="15"/>
  <c r="H19" i="15"/>
  <c r="H18" i="15"/>
  <c r="H17" i="15"/>
  <c r="G19" i="15"/>
  <c r="G17" i="15"/>
  <c r="G42" i="14" l="1"/>
  <c r="G43" i="14"/>
  <c r="G44" i="14"/>
  <c r="G45" i="14"/>
  <c r="G46" i="14"/>
  <c r="G47" i="14"/>
  <c r="G48" i="14"/>
  <c r="G31" i="14"/>
  <c r="G32" i="14"/>
  <c r="G33" i="14"/>
  <c r="G34" i="14"/>
  <c r="G35" i="14"/>
  <c r="G36" i="14"/>
  <c r="G37" i="14"/>
  <c r="G31" i="7"/>
  <c r="G32" i="7"/>
  <c r="G33" i="7"/>
  <c r="G34" i="7"/>
  <c r="G35" i="7"/>
  <c r="G36" i="7"/>
  <c r="G37" i="7"/>
  <c r="G42" i="7"/>
  <c r="G43" i="7"/>
  <c r="G44" i="7"/>
  <c r="G45" i="7"/>
  <c r="G46" i="7"/>
  <c r="G47" i="7"/>
  <c r="G48" i="7"/>
  <c r="F81" i="5"/>
  <c r="E62" i="5"/>
  <c r="F62" i="5"/>
  <c r="C76" i="13"/>
  <c r="D76" i="13"/>
  <c r="E76" i="13"/>
  <c r="F76" i="13"/>
  <c r="C81" i="13"/>
  <c r="D81" i="13"/>
  <c r="E81" i="13"/>
  <c r="F81" i="13"/>
  <c r="B77" i="13"/>
  <c r="C62" i="13"/>
  <c r="D62" i="13"/>
  <c r="E62" i="13"/>
  <c r="F62" i="13"/>
  <c r="B62" i="13"/>
  <c r="F17" i="2" l="1"/>
  <c r="F18" i="2"/>
  <c r="F19" i="2"/>
  <c r="F48" i="16"/>
  <c r="E48" i="16"/>
  <c r="C42" i="16"/>
  <c r="D42" i="16"/>
  <c r="E42" i="16"/>
  <c r="F42" i="16"/>
  <c r="C43" i="16"/>
  <c r="D43" i="16"/>
  <c r="E43" i="16"/>
  <c r="F43" i="16"/>
  <c r="C44" i="16"/>
  <c r="D44" i="16"/>
  <c r="E44" i="16"/>
  <c r="F44" i="16"/>
  <c r="C45" i="16"/>
  <c r="D45" i="16"/>
  <c r="E45" i="16"/>
  <c r="F45" i="16"/>
  <c r="C46" i="16"/>
  <c r="D46" i="16"/>
  <c r="E46" i="16"/>
  <c r="F46" i="16"/>
  <c r="C47" i="16"/>
  <c r="D47" i="16"/>
  <c r="E47" i="16"/>
  <c r="F47" i="16"/>
  <c r="C49" i="16"/>
  <c r="D49" i="16"/>
  <c r="E49" i="16"/>
  <c r="F49" i="16"/>
  <c r="C50" i="16"/>
  <c r="D50" i="16"/>
  <c r="E50" i="16"/>
  <c r="F50" i="16"/>
  <c r="C51" i="16"/>
  <c r="D51" i="16"/>
  <c r="E51" i="16"/>
  <c r="F51" i="16"/>
  <c r="B51" i="16"/>
  <c r="B50" i="16"/>
  <c r="B49" i="16"/>
  <c r="B47" i="16"/>
  <c r="B46" i="16"/>
  <c r="B45" i="16"/>
  <c r="B44" i="16"/>
  <c r="B43" i="16"/>
  <c r="B42" i="16"/>
  <c r="C18" i="16"/>
  <c r="D18" i="16"/>
  <c r="E18" i="16"/>
  <c r="F18" i="16"/>
  <c r="C19" i="16"/>
  <c r="D19" i="16"/>
  <c r="E19" i="16"/>
  <c r="F19" i="16"/>
  <c r="C20" i="16"/>
  <c r="D20" i="16"/>
  <c r="E20" i="16"/>
  <c r="F20" i="16"/>
  <c r="C21" i="16"/>
  <c r="D21" i="16"/>
  <c r="E21" i="16"/>
  <c r="F21" i="16"/>
  <c r="B21" i="16"/>
  <c r="B20" i="16"/>
  <c r="B19" i="16"/>
  <c r="B18" i="16"/>
  <c r="C17" i="15"/>
  <c r="D17" i="15"/>
  <c r="E17" i="15"/>
  <c r="F17" i="15"/>
  <c r="C18" i="15"/>
  <c r="D18" i="15"/>
  <c r="E18" i="15"/>
  <c r="F18" i="15"/>
  <c r="C19" i="15"/>
  <c r="D19" i="15"/>
  <c r="E19" i="15"/>
  <c r="F19" i="15"/>
  <c r="B19" i="15"/>
  <c r="B18" i="15"/>
  <c r="B17" i="15"/>
  <c r="F37" i="14" l="1"/>
  <c r="F36" i="14"/>
  <c r="F35" i="14"/>
  <c r="F34" i="14"/>
  <c r="F33" i="14"/>
  <c r="F32" i="14"/>
  <c r="F31" i="14"/>
  <c r="F48" i="14"/>
  <c r="F47" i="14"/>
  <c r="F46" i="14"/>
  <c r="F45" i="14"/>
  <c r="F44" i="14"/>
  <c r="F43" i="14"/>
  <c r="F42" i="14"/>
  <c r="B43" i="7"/>
  <c r="C43" i="7"/>
  <c r="D43" i="7"/>
  <c r="E43" i="7"/>
  <c r="F43" i="7"/>
  <c r="B44" i="7"/>
  <c r="C44" i="7"/>
  <c r="D44" i="7"/>
  <c r="E44" i="7"/>
  <c r="F44" i="7"/>
  <c r="B45" i="7"/>
  <c r="C45" i="7"/>
  <c r="D45" i="7"/>
  <c r="E45" i="7"/>
  <c r="F45" i="7"/>
  <c r="B46" i="7"/>
  <c r="C46" i="7"/>
  <c r="D46" i="7"/>
  <c r="E46" i="7"/>
  <c r="F46" i="7"/>
  <c r="B47" i="7"/>
  <c r="C47" i="7"/>
  <c r="D47" i="7"/>
  <c r="E47" i="7"/>
  <c r="F47" i="7"/>
  <c r="B48" i="7"/>
  <c r="C48" i="7"/>
  <c r="D48" i="7"/>
  <c r="E48" i="7"/>
  <c r="F48" i="7"/>
  <c r="C42" i="7"/>
  <c r="D42" i="7"/>
  <c r="E42" i="7"/>
  <c r="F42" i="7"/>
  <c r="B42" i="7"/>
  <c r="C31" i="7"/>
  <c r="D31" i="7"/>
  <c r="E31" i="7"/>
  <c r="F31" i="7"/>
  <c r="C32" i="7"/>
  <c r="D32" i="7"/>
  <c r="E32" i="7"/>
  <c r="F32" i="7"/>
  <c r="C33" i="7"/>
  <c r="D33" i="7"/>
  <c r="E33" i="7"/>
  <c r="F33" i="7"/>
  <c r="C34" i="7"/>
  <c r="D34" i="7"/>
  <c r="E34" i="7"/>
  <c r="F34" i="7"/>
  <c r="C35" i="7"/>
  <c r="D35" i="7"/>
  <c r="E35" i="7"/>
  <c r="F35" i="7"/>
  <c r="C36" i="7"/>
  <c r="D36" i="7"/>
  <c r="E36" i="7"/>
  <c r="F36" i="7"/>
  <c r="C37" i="7"/>
  <c r="D37" i="7"/>
  <c r="E37" i="7"/>
  <c r="F37" i="7"/>
  <c r="B37" i="7"/>
  <c r="B36" i="7"/>
  <c r="B35" i="7"/>
  <c r="B34" i="7"/>
  <c r="B33" i="7"/>
  <c r="B32" i="7"/>
  <c r="B31" i="7"/>
  <c r="C19" i="2"/>
  <c r="D19" i="2"/>
  <c r="E19" i="2"/>
  <c r="B19" i="2"/>
  <c r="C18" i="2"/>
  <c r="D18" i="2"/>
  <c r="E18" i="2"/>
  <c r="B18" i="2"/>
  <c r="C17" i="2"/>
  <c r="D17" i="2"/>
  <c r="E17" i="2"/>
  <c r="B17" i="2"/>
</calcChain>
</file>

<file path=xl/sharedStrings.xml><?xml version="1.0" encoding="utf-8"?>
<sst xmlns="http://schemas.openxmlformats.org/spreadsheetml/2006/main" count="589" uniqueCount="88">
  <si>
    <t>total</t>
  </si>
  <si>
    <t>jeux pour PC</t>
  </si>
  <si>
    <t>Chiffre d’affaires du marché des jeux vidéo selon les supports de lecture (M€)</t>
  </si>
  <si>
    <t>ensemble des jeux</t>
  </si>
  <si>
    <t>combat</t>
  </si>
  <si>
    <t>course</t>
  </si>
  <si>
    <t>sport</t>
  </si>
  <si>
    <t>3 ans et plus</t>
  </si>
  <si>
    <t>7 ans et plus</t>
  </si>
  <si>
    <t>12 ans et plus</t>
  </si>
  <si>
    <t>16 ans et plus</t>
  </si>
  <si>
    <t>18 ans et plus</t>
  </si>
  <si>
    <t>autres</t>
  </si>
  <si>
    <t>Répartition du chiffre d'affaires des ventes de jeux vidéo selon les supports de lecture  (%)</t>
  </si>
  <si>
    <t>Définitions</t>
  </si>
  <si>
    <t>Sources</t>
  </si>
  <si>
    <t>MARCHE DU JEU VIDEO</t>
  </si>
  <si>
    <t>Définitions et sources</t>
  </si>
  <si>
    <t>Retour au menu "Marché du jeu vidéo"</t>
  </si>
  <si>
    <t>jeux pour console</t>
  </si>
  <si>
    <t>jeux mobiles</t>
  </si>
  <si>
    <t>N/A</t>
  </si>
  <si>
    <t>action</t>
  </si>
  <si>
    <t>jeux de rôles</t>
  </si>
  <si>
    <t>aventure</t>
  </si>
  <si>
    <t>famille</t>
  </si>
  <si>
    <t>jeux casual</t>
  </si>
  <si>
    <t>simulation aérienne</t>
  </si>
  <si>
    <t>autres jeux</t>
  </si>
  <si>
    <t>arcade</t>
  </si>
  <si>
    <t>Marché du jeu vidéo console selon le genre</t>
  </si>
  <si>
    <t>Chiffre d’affaires du marché des jeux vidéo console selon le genre (M€)</t>
  </si>
  <si>
    <t>Parts de marché des jeux vidéo console selon le genre (%)</t>
  </si>
  <si>
    <t>Prix moyen des jeux vidéo console selon le genre (€)</t>
  </si>
  <si>
    <t>Prix moyen des jeux vidéo PC selon le genre (€)</t>
  </si>
  <si>
    <t>Parts de marché des jeux vidéo PC selon le genre (%)</t>
  </si>
  <si>
    <t>Chiffre d’affaires du marché des jeux vidéo PC selon le genre (M€)</t>
  </si>
  <si>
    <t>logiciel</t>
  </si>
  <si>
    <t>matériel</t>
  </si>
  <si>
    <t>accessoires</t>
  </si>
  <si>
    <t>total marché</t>
  </si>
  <si>
    <t>Chiffre d’affaires du marché du jeu vidéo selon le segment (M€)</t>
  </si>
  <si>
    <t>Répartition du chiffre d'affaires du marché du jeu vidéo selon le segment (%)</t>
  </si>
  <si>
    <t>Marché du jeu vidéo selon le segment</t>
  </si>
  <si>
    <t>écosystème console</t>
  </si>
  <si>
    <t>écosystème PC</t>
  </si>
  <si>
    <t>écosystème mobile</t>
  </si>
  <si>
    <t>Chiffre d’affaires du marché du jeu vidéo selon l'écosystème (M€)</t>
  </si>
  <si>
    <t>Répartition du chiffre d'affaires du marché du jeu vidéo selon l'écosystème (%)</t>
  </si>
  <si>
    <t>logiciel physique console</t>
  </si>
  <si>
    <t>logiciel dématérialisé console</t>
  </si>
  <si>
    <t>accessoire console</t>
  </si>
  <si>
    <t>matériel console</t>
  </si>
  <si>
    <t>matériel PC</t>
  </si>
  <si>
    <t>accessoire PC</t>
  </si>
  <si>
    <t>logiciel physique PC</t>
  </si>
  <si>
    <t>logiciel dématérialisé PC</t>
  </si>
  <si>
    <t>logiciel mobile</t>
  </si>
  <si>
    <t>Chiffre d’affaires du marché du jeu vidéo selon le segment et l'écosystème (M€)</t>
  </si>
  <si>
    <t>Répartition du chiffre d'affaires du marché du jeu vidéo selon le segment et l'écosystème (%)</t>
  </si>
  <si>
    <t>mobile</t>
  </si>
  <si>
    <t>Marché du jeu vidéo PC selon le genre</t>
  </si>
  <si>
    <t>Le marché des jeux vidéo PC selon le genre (milliers d’unités)</t>
  </si>
  <si>
    <t>Le marché des jeux vidéo console selon le genre (milliers d’unités)</t>
  </si>
  <si>
    <t>Marché du jeu vidéo console selon la classification PEGI</t>
  </si>
  <si>
    <t>Chiffre d’affaires du marché des jeux vidéo console selon la classification PEGI (M€)</t>
  </si>
  <si>
    <t>Répartition du chiffre d'affaires des jeux vidéo console selon la classification PEGI (%)</t>
  </si>
  <si>
    <t>Prix moyen des jeux vidéo console selon la classification PEGI (€)</t>
  </si>
  <si>
    <t>Le marché des jeux vidéo console selon la classification PEGI (milliers d’unités)</t>
  </si>
  <si>
    <t>Marché du jeu vidéo PC selon la classification PEGI</t>
  </si>
  <si>
    <t>Chiffre d’affaires du marché des jeux vidéo PC selon la classification PEGI (M€)</t>
  </si>
  <si>
    <t>Répartition du chiffre d'affaires des jeux vidéo PC selon la classification PEGI (%)</t>
  </si>
  <si>
    <t>Prix moyen des jeux vidéo PC selon la classification PEGI (€)</t>
  </si>
  <si>
    <t>Le marché des jeux vidéo PC selon la classification PEGI (milliers d’unités)</t>
  </si>
  <si>
    <t>Marché des jeux vidéo selon l'écosystème</t>
  </si>
  <si>
    <t>Marché du jeu vidéo selon l'écosystème</t>
  </si>
  <si>
    <t>Marché des jeux vidéo selon les supports de lecture</t>
  </si>
  <si>
    <t>Source : SELL – GSD.</t>
  </si>
  <si>
    <t>écrans PC</t>
  </si>
  <si>
    <t>-</t>
  </si>
  <si>
    <t xml:space="preserve"> </t>
  </si>
  <si>
    <t>jeu de rôles</t>
  </si>
  <si>
    <t>stratégie/RTS</t>
  </si>
  <si>
    <t>enfant</t>
  </si>
  <si>
    <t>Le périmètre des données pour le jeu PC dématérialisé a été étendu en janvier 2020, ainsi l'historique pour les années antérieures n'est pas disponible.</t>
  </si>
  <si>
    <t>Source : SELL – GSD, GameTrack, Sensor Tower.</t>
  </si>
  <si>
    <t>jeux de tir/FPS</t>
  </si>
  <si>
    <t>Mis à jour le 26 juin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</si>
</sst>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 _€_-;\-* #,##0.00\ _€_-;_-* &quot;-&quot;??\ _€_-;_-@_-"/>
    <numFmt numFmtId="165" formatCode="_(&quot;€&quot;* #,##0.00_);_(&quot;€&quot;* \(#,##0.00\);_(&quot;€&quot;* &quot;-&quot;??_);_(@_)"/>
    <numFmt numFmtId="166" formatCode="#,##0.0"/>
    <numFmt numFmtId="167" formatCode="0.0%"/>
    <numFmt numFmtId="168" formatCode="0.0"/>
    <numFmt numFmtId="169" formatCode="#,##0.0,,"/>
    <numFmt numFmtId="170" formatCode="#,##0.0,"/>
  </numFmts>
  <fonts count="3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9"/>
      <name val="Arial"/>
      <family val="2"/>
    </font>
    <font>
      <sz val="9"/>
      <name val="Arial"/>
      <family val="2"/>
    </font>
    <font>
      <sz val="8"/>
      <name val="Arial"/>
      <family val="2"/>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font>
    <font>
      <sz val="11"/>
      <color indexed="62"/>
      <name val="Calibri"/>
      <family val="2"/>
    </font>
    <font>
      <sz val="11"/>
      <color indexed="20"/>
      <name val="Calibri"/>
      <family val="2"/>
    </font>
    <font>
      <sz val="11"/>
      <color indexed="60"/>
      <name val="Calibri"/>
      <family val="2"/>
    </font>
    <font>
      <sz val="11"/>
      <color indexed="17"/>
      <name val="Calibri"/>
      <family val="2"/>
    </font>
    <font>
      <b/>
      <sz val="11"/>
      <color indexed="63"/>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b/>
      <sz val="11"/>
      <name val="Arial"/>
      <family val="2"/>
    </font>
    <font>
      <b/>
      <sz val="12"/>
      <name val="Arial"/>
      <family val="2"/>
    </font>
    <font>
      <b/>
      <sz val="20"/>
      <name val="Arial"/>
      <family val="2"/>
    </font>
    <font>
      <u/>
      <sz val="10"/>
      <color theme="10"/>
      <name val="Arial"/>
      <family val="2"/>
    </font>
    <font>
      <u/>
      <sz val="12"/>
      <name val="Arial"/>
      <family val="2"/>
    </font>
    <font>
      <sz val="9"/>
      <color theme="9"/>
      <name val="Arial"/>
      <family val="2"/>
    </font>
    <font>
      <sz val="9"/>
      <color theme="1"/>
      <name val="Arial"/>
      <family val="2"/>
    </font>
    <font>
      <sz val="9"/>
      <color rgb="FF00B0F0"/>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s>
  <borders count="1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style="thin">
        <color indexed="64"/>
      </top>
      <bottom style="thin">
        <color indexed="64"/>
      </bottom>
      <diagonal/>
    </border>
    <border>
      <left/>
      <right/>
      <top/>
      <bottom style="thin">
        <color indexed="64"/>
      </bottom>
      <diagonal/>
    </border>
    <border>
      <left/>
      <right/>
      <top style="thin">
        <color auto="1"/>
      </top>
      <bottom style="thin">
        <color auto="1"/>
      </bottom>
      <diagonal/>
    </border>
    <border>
      <left/>
      <right/>
      <top style="thin">
        <color auto="1"/>
      </top>
      <bottom style="double">
        <color indexed="64"/>
      </bottom>
      <diagonal/>
    </border>
  </borders>
  <cellStyleXfs count="64">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5" borderId="0" applyNumberFormat="0" applyBorder="0" applyAlignment="0" applyProtection="0"/>
    <xf numFmtId="0" fontId="10" fillId="8" borderId="0" applyNumberFormat="0" applyBorder="0" applyAlignment="0" applyProtection="0"/>
    <xf numFmtId="0" fontId="10" fillId="11" borderId="0" applyNumberFormat="0" applyBorder="0" applyAlignment="0" applyProtection="0"/>
    <xf numFmtId="0" fontId="11" fillId="12"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9" borderId="0" applyNumberFormat="0" applyBorder="0" applyAlignment="0" applyProtection="0"/>
    <xf numFmtId="0" fontId="12" fillId="0" borderId="0" applyNumberFormat="0" applyFill="0" applyBorder="0" applyAlignment="0" applyProtection="0"/>
    <xf numFmtId="0" fontId="13" fillId="20" borderId="1" applyNumberFormat="0" applyAlignment="0" applyProtection="0"/>
    <xf numFmtId="0" fontId="14" fillId="0" borderId="2" applyNumberFormat="0" applyFill="0" applyAlignment="0" applyProtection="0"/>
    <xf numFmtId="0" fontId="15" fillId="21" borderId="3" applyNumberFormat="0" applyFont="0" applyAlignment="0" applyProtection="0"/>
    <xf numFmtId="0" fontId="16" fillId="7" borderId="1" applyNumberFormat="0" applyAlignment="0" applyProtection="0"/>
    <xf numFmtId="165" fontId="6" fillId="0" borderId="0" applyFont="0" applyFill="0" applyBorder="0" applyAlignment="0" applyProtection="0"/>
    <xf numFmtId="0" fontId="17" fillId="3" borderId="0" applyNumberFormat="0" applyBorder="0" applyAlignment="0" applyProtection="0"/>
    <xf numFmtId="0" fontId="18" fillId="22" borderId="0" applyNumberFormat="0" applyBorder="0" applyAlignment="0" applyProtection="0"/>
    <xf numFmtId="9" fontId="6" fillId="0" borderId="0" applyFont="0" applyFill="0" applyBorder="0" applyAlignment="0" applyProtection="0"/>
    <xf numFmtId="0" fontId="19" fillId="4" borderId="0" applyNumberFormat="0" applyBorder="0" applyAlignment="0" applyProtection="0"/>
    <xf numFmtId="0" fontId="20" fillId="20" borderId="4" applyNumberFormat="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3" fillId="0" borderId="5" applyNumberFormat="0" applyFill="0" applyAlignment="0" applyProtection="0"/>
    <xf numFmtId="0" fontId="24" fillId="0" borderId="6" applyNumberFormat="0" applyFill="0" applyAlignment="0" applyProtection="0"/>
    <xf numFmtId="0" fontId="25" fillId="0" borderId="7" applyNumberFormat="0" applyFill="0" applyAlignment="0" applyProtection="0"/>
    <xf numFmtId="0" fontId="25" fillId="0" borderId="0" applyNumberFormat="0" applyFill="0" applyBorder="0" applyAlignment="0" applyProtection="0"/>
    <xf numFmtId="0" fontId="26" fillId="0" borderId="8" applyNumberFormat="0" applyFill="0" applyAlignment="0" applyProtection="0"/>
    <xf numFmtId="0" fontId="27" fillId="23" borderId="9" applyNumberFormat="0" applyAlignment="0" applyProtection="0"/>
    <xf numFmtId="0" fontId="5" fillId="0" borderId="0"/>
    <xf numFmtId="0" fontId="5" fillId="0" borderId="0"/>
    <xf numFmtId="0" fontId="4" fillId="0" borderId="0"/>
    <xf numFmtId="0" fontId="31" fillId="0" borderId="0" applyNumberFormat="0" applyFill="0" applyBorder="0" applyAlignment="0" applyProtection="0"/>
    <xf numFmtId="0" fontId="3" fillId="0" borderId="0"/>
    <xf numFmtId="164" fontId="3" fillId="0" borderId="0" applyFont="0" applyFill="0" applyBorder="0" applyAlignment="0" applyProtection="0"/>
    <xf numFmtId="0" fontId="6" fillId="0" borderId="0"/>
    <xf numFmtId="0" fontId="6" fillId="21" borderId="3" applyNumberFormat="0" applyFont="0" applyAlignment="0" applyProtection="0"/>
    <xf numFmtId="165" fontId="6" fillId="0" borderId="0" applyFont="0" applyFill="0" applyBorder="0" applyAlignment="0" applyProtection="0"/>
    <xf numFmtId="0" fontId="2" fillId="0" borderId="0"/>
    <xf numFmtId="0" fontId="2" fillId="0" borderId="0"/>
    <xf numFmtId="0" fontId="2" fillId="0" borderId="0"/>
    <xf numFmtId="0" fontId="2" fillId="0" borderId="0"/>
    <xf numFmtId="164" fontId="2" fillId="0" borderId="0" applyFont="0" applyFill="0" applyBorder="0" applyAlignment="0" applyProtection="0"/>
    <xf numFmtId="165" fontId="6" fillId="0" borderId="0" applyFont="0" applyFill="0" applyBorder="0" applyAlignment="0" applyProtection="0"/>
    <xf numFmtId="0" fontId="1" fillId="0" borderId="0"/>
    <xf numFmtId="0" fontId="1" fillId="0" borderId="0"/>
    <xf numFmtId="0" fontId="1" fillId="0" borderId="0"/>
    <xf numFmtId="0" fontId="1" fillId="0" borderId="0"/>
    <xf numFmtId="164" fontId="1" fillId="0" borderId="0" applyFont="0" applyFill="0" applyBorder="0" applyAlignment="0" applyProtection="0"/>
  </cellStyleXfs>
  <cellXfs count="60">
    <xf numFmtId="0" fontId="0" fillId="0" borderId="0" xfId="0"/>
    <xf numFmtId="0" fontId="7" fillId="0" borderId="10" xfId="0" applyFont="1" applyBorder="1" applyAlignment="1">
      <alignment horizontal="right"/>
    </xf>
    <xf numFmtId="0" fontId="8" fillId="0" borderId="10" xfId="0" applyFont="1" applyBorder="1"/>
    <xf numFmtId="0" fontId="7" fillId="0" borderId="10" xfId="0" applyFont="1" applyBorder="1"/>
    <xf numFmtId="0" fontId="7" fillId="0" borderId="0" xfId="0" applyFont="1"/>
    <xf numFmtId="0" fontId="8" fillId="0" borderId="0" xfId="0" applyFont="1"/>
    <xf numFmtId="0" fontId="8" fillId="0" borderId="0" xfId="0" applyFont="1" applyAlignment="1">
      <alignment horizontal="left"/>
    </xf>
    <xf numFmtId="0" fontId="7" fillId="0" borderId="0" xfId="0" applyFont="1" applyAlignment="1">
      <alignment horizontal="left"/>
    </xf>
    <xf numFmtId="0" fontId="7" fillId="0" borderId="10" xfId="0" applyFont="1" applyBorder="1" applyAlignment="1">
      <alignment horizontal="left"/>
    </xf>
    <xf numFmtId="0" fontId="8" fillId="0" borderId="10" xfId="0" applyFont="1" applyBorder="1" applyAlignment="1">
      <alignment horizontal="left"/>
    </xf>
    <xf numFmtId="0" fontId="8" fillId="0" borderId="0" xfId="0" applyFont="1" applyAlignment="1">
      <alignment horizontal="right"/>
    </xf>
    <xf numFmtId="168" fontId="8" fillId="0" borderId="10" xfId="0" applyNumberFormat="1" applyFont="1" applyBorder="1" applyAlignment="1">
      <alignment horizontal="right"/>
    </xf>
    <xf numFmtId="168" fontId="7" fillId="0" borderId="10" xfId="0" applyNumberFormat="1" applyFont="1" applyBorder="1" applyAlignment="1">
      <alignment horizontal="right"/>
    </xf>
    <xf numFmtId="167" fontId="8" fillId="0" borderId="0" xfId="33" applyNumberFormat="1" applyFont="1" applyAlignment="1">
      <alignment horizontal="right"/>
    </xf>
    <xf numFmtId="2" fontId="8" fillId="0" borderId="10" xfId="0" applyNumberFormat="1" applyFont="1" applyBorder="1" applyAlignment="1">
      <alignment horizontal="right"/>
    </xf>
    <xf numFmtId="169" fontId="8" fillId="0" borderId="10" xfId="0" applyNumberFormat="1" applyFont="1" applyBorder="1" applyAlignment="1">
      <alignment horizontal="right"/>
    </xf>
    <xf numFmtId="169" fontId="7" fillId="0" borderId="10" xfId="0" applyNumberFormat="1" applyFont="1" applyBorder="1" applyAlignment="1">
      <alignment horizontal="right"/>
    </xf>
    <xf numFmtId="168" fontId="7" fillId="0" borderId="0" xfId="0" applyNumberFormat="1" applyFont="1" applyAlignment="1">
      <alignment horizontal="right"/>
    </xf>
    <xf numFmtId="167" fontId="7" fillId="0" borderId="0" xfId="33" applyNumberFormat="1" applyFont="1" applyBorder="1" applyAlignment="1">
      <alignment horizontal="right"/>
    </xf>
    <xf numFmtId="2" fontId="7" fillId="0" borderId="10" xfId="0" applyNumberFormat="1" applyFont="1" applyBorder="1" applyAlignment="1">
      <alignment horizontal="right"/>
    </xf>
    <xf numFmtId="168" fontId="8" fillId="0" borderId="11" xfId="0" applyNumberFormat="1" applyFont="1" applyBorder="1" applyAlignment="1">
      <alignment horizontal="right"/>
    </xf>
    <xf numFmtId="168" fontId="8" fillId="0" borderId="10" xfId="0" applyNumberFormat="1" applyFont="1" applyBorder="1"/>
    <xf numFmtId="168" fontId="7" fillId="0" borderId="10" xfId="0" applyNumberFormat="1" applyFont="1" applyBorder="1"/>
    <xf numFmtId="168" fontId="7" fillId="0" borderId="10" xfId="33" applyNumberFormat="1" applyFont="1" applyBorder="1" applyAlignment="1">
      <alignment horizontal="right"/>
    </xf>
    <xf numFmtId="168" fontId="8" fillId="0" borderId="10" xfId="33" applyNumberFormat="1" applyFont="1" applyBorder="1" applyAlignment="1">
      <alignment horizontal="right"/>
    </xf>
    <xf numFmtId="0" fontId="28" fillId="0" borderId="0" xfId="0" applyFont="1" applyAlignment="1">
      <alignment horizontal="left"/>
    </xf>
    <xf numFmtId="0" fontId="7" fillId="0" borderId="10" xfId="0" applyFont="1" applyBorder="1" applyAlignment="1">
      <alignment vertical="center"/>
    </xf>
    <xf numFmtId="0" fontId="7" fillId="0" borderId="10" xfId="0" applyFont="1" applyBorder="1" applyAlignment="1">
      <alignment horizontal="right" vertical="center" wrapText="1"/>
    </xf>
    <xf numFmtId="0" fontId="29" fillId="0" borderId="0" xfId="44" applyFont="1"/>
    <xf numFmtId="0" fontId="30" fillId="0" borderId="0" xfId="0" applyFont="1"/>
    <xf numFmtId="0" fontId="8" fillId="0" borderId="0" xfId="0" applyFont="1" applyAlignment="1">
      <alignment vertical="center"/>
    </xf>
    <xf numFmtId="0" fontId="31" fillId="0" borderId="0" xfId="47"/>
    <xf numFmtId="0" fontId="32" fillId="0" borderId="0" xfId="47" applyFont="1" applyAlignment="1">
      <alignment vertical="center"/>
    </xf>
    <xf numFmtId="166" fontId="33" fillId="0" borderId="0" xfId="0" applyNumberFormat="1" applyFont="1" applyAlignment="1">
      <alignment horizontal="right"/>
    </xf>
    <xf numFmtId="168" fontId="33" fillId="0" borderId="0" xfId="0" applyNumberFormat="1" applyFont="1" applyAlignment="1">
      <alignment horizontal="left"/>
    </xf>
    <xf numFmtId="0" fontId="9" fillId="0" borderId="0" xfId="50" applyFont="1" applyAlignment="1">
      <alignment horizontal="left"/>
    </xf>
    <xf numFmtId="0" fontId="34" fillId="0" borderId="12" xfId="0" applyFont="1" applyBorder="1"/>
    <xf numFmtId="168" fontId="8" fillId="0" borderId="12" xfId="0" applyNumberFormat="1" applyFont="1" applyBorder="1" applyAlignment="1">
      <alignment horizontal="right"/>
    </xf>
    <xf numFmtId="2" fontId="8" fillId="0" borderId="12" xfId="0" applyNumberFormat="1" applyFont="1" applyBorder="1" applyAlignment="1">
      <alignment horizontal="right"/>
    </xf>
    <xf numFmtId="0" fontId="8" fillId="0" borderId="12" xfId="0" applyFont="1" applyBorder="1" applyAlignment="1">
      <alignment horizontal="left"/>
    </xf>
    <xf numFmtId="0" fontId="8" fillId="0" borderId="11" xfId="0" applyFont="1" applyBorder="1" applyAlignment="1">
      <alignment horizontal="left"/>
    </xf>
    <xf numFmtId="0" fontId="8" fillId="0" borderId="13" xfId="0" applyFont="1" applyBorder="1" applyAlignment="1">
      <alignment horizontal="left"/>
    </xf>
    <xf numFmtId="168" fontId="8" fillId="0" borderId="13" xfId="0" applyNumberFormat="1" applyFont="1" applyBorder="1" applyAlignment="1">
      <alignment horizontal="right"/>
    </xf>
    <xf numFmtId="170" fontId="8" fillId="0" borderId="10" xfId="0" applyNumberFormat="1" applyFont="1" applyBorder="1" applyAlignment="1">
      <alignment horizontal="right"/>
    </xf>
    <xf numFmtId="170" fontId="7" fillId="0" borderId="10" xfId="0" applyNumberFormat="1" applyFont="1" applyBorder="1" applyAlignment="1">
      <alignment horizontal="right"/>
    </xf>
    <xf numFmtId="3" fontId="33" fillId="0" borderId="0" xfId="0" applyNumberFormat="1" applyFont="1" applyAlignment="1">
      <alignment horizontal="right"/>
    </xf>
    <xf numFmtId="168" fontId="7" fillId="0" borderId="10" xfId="0" applyNumberFormat="1" applyFont="1" applyBorder="1" applyAlignment="1">
      <alignment vertical="center"/>
    </xf>
    <xf numFmtId="168" fontId="34" fillId="0" borderId="12" xfId="0" applyNumberFormat="1" applyFont="1" applyBorder="1"/>
    <xf numFmtId="1" fontId="7" fillId="0" borderId="10" xfId="0" applyNumberFormat="1" applyFont="1" applyBorder="1" applyAlignment="1">
      <alignment horizontal="right"/>
    </xf>
    <xf numFmtId="168" fontId="8" fillId="0" borderId="0" xfId="0" applyNumberFormat="1" applyFont="1"/>
    <xf numFmtId="0" fontId="9" fillId="0" borderId="0" xfId="0" applyFont="1" applyAlignment="1">
      <alignment horizontal="left"/>
    </xf>
    <xf numFmtId="168" fontId="8" fillId="0" borderId="10" xfId="33" applyNumberFormat="1" applyFont="1" applyFill="1" applyBorder="1" applyAlignment="1">
      <alignment horizontal="right"/>
    </xf>
    <xf numFmtId="168" fontId="7" fillId="0" borderId="10" xfId="33" applyNumberFormat="1" applyFont="1" applyFill="1" applyBorder="1" applyAlignment="1">
      <alignment horizontal="right"/>
    </xf>
    <xf numFmtId="0" fontId="35" fillId="0" borderId="0" xfId="0" applyFont="1"/>
    <xf numFmtId="166" fontId="8" fillId="0" borderId="10" xfId="0" applyNumberFormat="1" applyFont="1" applyBorder="1" applyAlignment="1">
      <alignment horizontal="right" vertical="center"/>
    </xf>
    <xf numFmtId="166" fontId="8" fillId="0" borderId="10" xfId="0" applyNumberFormat="1" applyFont="1" applyBorder="1" applyAlignment="1">
      <alignment horizontal="right"/>
    </xf>
    <xf numFmtId="166" fontId="7" fillId="0" borderId="10" xfId="0" applyNumberFormat="1" applyFont="1" applyBorder="1" applyAlignment="1">
      <alignment horizontal="right" vertical="center"/>
    </xf>
    <xf numFmtId="166" fontId="8" fillId="0" borderId="12" xfId="0" applyNumberFormat="1" applyFont="1" applyBorder="1" applyAlignment="1">
      <alignment horizontal="right"/>
    </xf>
    <xf numFmtId="166" fontId="8" fillId="0" borderId="13" xfId="0" applyNumberFormat="1" applyFont="1" applyBorder="1" applyAlignment="1">
      <alignment horizontal="right"/>
    </xf>
    <xf numFmtId="166" fontId="8" fillId="0" borderId="11" xfId="0" applyNumberFormat="1" applyFont="1" applyBorder="1" applyAlignment="1">
      <alignment horizontal="right"/>
    </xf>
  </cellXfs>
  <cellStyles count="64">
    <cellStyle name="20 % - Accent1" xfId="1" builtinId="30" customBuiltin="1"/>
    <cellStyle name="20 % - Accent2" xfId="2" builtinId="34" customBuiltin="1"/>
    <cellStyle name="20 % - Accent3" xfId="3" builtinId="38" customBuiltin="1"/>
    <cellStyle name="20 % - Accent4" xfId="4" builtinId="42" customBuiltin="1"/>
    <cellStyle name="20 % - Accent5" xfId="5" builtinId="46" customBuiltin="1"/>
    <cellStyle name="20 % - Accent6" xfId="6" builtinId="50" customBuiltin="1"/>
    <cellStyle name="40 % - Accent1" xfId="7" builtinId="31" customBuiltin="1"/>
    <cellStyle name="40 % - Accent2" xfId="8" builtinId="35" customBuiltin="1"/>
    <cellStyle name="40 % - Accent3" xfId="9" builtinId="39" customBuiltin="1"/>
    <cellStyle name="40 % - Accent4" xfId="10" builtinId="43" customBuiltin="1"/>
    <cellStyle name="40 % - Accent5" xfId="11" builtinId="47" customBuiltin="1"/>
    <cellStyle name="40 % - Accent6" xfId="12" builtinId="51" customBuiltin="1"/>
    <cellStyle name="60 % - Accent1" xfId="13" builtinId="32" customBuiltin="1"/>
    <cellStyle name="60 % - Accent2" xfId="14" builtinId="36" customBuiltin="1"/>
    <cellStyle name="60 % - Accent3" xfId="15" builtinId="40" customBuiltin="1"/>
    <cellStyle name="60 % - Accent4" xfId="16" builtinId="44" customBuiltin="1"/>
    <cellStyle name="60 % - Accent5" xfId="17" builtinId="48" customBuiltin="1"/>
    <cellStyle name="60 %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vertissement" xfId="25" builtinId="11" customBuiltin="1"/>
    <cellStyle name="Calcul" xfId="26" builtinId="22" customBuiltin="1"/>
    <cellStyle name="Cellule liée" xfId="27" builtinId="24" customBuiltin="1"/>
    <cellStyle name="Entrée" xfId="29" builtinId="20" customBuiltin="1"/>
    <cellStyle name="Euro" xfId="30" xr:uid="{00000000-0005-0000-0000-00001D000000}"/>
    <cellStyle name="Euro 2" xfId="52" xr:uid="{21CB0AFA-7FB9-4FE0-BEBA-0581D69ADE35}"/>
    <cellStyle name="Euro 3" xfId="58" xr:uid="{6AB843FE-B9E4-472C-92FB-81E61B0BC9A7}"/>
    <cellStyle name="Insatisfaisant" xfId="31" builtinId="27" customBuiltin="1"/>
    <cellStyle name="Lien hypertexte" xfId="47" builtinId="8"/>
    <cellStyle name="Milliers 3" xfId="49" xr:uid="{00000000-0005-0000-0000-000020000000}"/>
    <cellStyle name="Milliers 3 2" xfId="57" xr:uid="{46238BF4-D541-4096-AF06-9F8A75D82AED}"/>
    <cellStyle name="Milliers 3 3" xfId="63" xr:uid="{A0A20BAE-CDF2-46D1-BE3B-5217D7FF4B1B}"/>
    <cellStyle name="Neutre" xfId="32" builtinId="28" customBuiltin="1"/>
    <cellStyle name="Normal" xfId="0" builtinId="0"/>
    <cellStyle name="Normal 2" xfId="44" xr:uid="{00000000-0005-0000-0000-000023000000}"/>
    <cellStyle name="Normal 2 2" xfId="53" xr:uid="{F01BA357-1298-4BEC-A12D-41096A1F802E}"/>
    <cellStyle name="Normal 2 3" xfId="59" xr:uid="{11B67106-7986-4664-A2E1-A663007DF2D8}"/>
    <cellStyle name="Normal 3" xfId="46" xr:uid="{00000000-0005-0000-0000-000024000000}"/>
    <cellStyle name="Normal 3 2" xfId="55" xr:uid="{7C8AC23A-8588-401B-BAA6-E4093D3384DA}"/>
    <cellStyle name="Normal 3 3" xfId="61" xr:uid="{5872F641-7782-47D3-A12D-0276599D7EE8}"/>
    <cellStyle name="Normal 4" xfId="45" xr:uid="{00000000-0005-0000-0000-000025000000}"/>
    <cellStyle name="Normal 4 2" xfId="54" xr:uid="{864908CD-F629-4DD3-8D01-5AAFF7D78C64}"/>
    <cellStyle name="Normal 4 3" xfId="60" xr:uid="{9E1F6567-7EB2-4831-8B38-55417D88BA56}"/>
    <cellStyle name="Normal 5" xfId="50" xr:uid="{AC92E25C-908D-4B38-8DA6-4BA66AD504BD}"/>
    <cellStyle name="Normal 6" xfId="48" xr:uid="{00000000-0005-0000-0000-000026000000}"/>
    <cellStyle name="Normal 6 2" xfId="56" xr:uid="{6675E3F2-992F-4A55-A71F-212B45F5AB4F}"/>
    <cellStyle name="Normal 6 3" xfId="62" xr:uid="{47121286-C96C-4F91-A7D1-E6F18429A455}"/>
    <cellStyle name="Note" xfId="28" builtinId="10" customBuiltin="1"/>
    <cellStyle name="Note 2" xfId="51" xr:uid="{064AF9E3-DD5F-4EEB-B546-BC8E99E621F9}"/>
    <cellStyle name="Pourcentage" xfId="33" builtinId="5"/>
    <cellStyle name="Satisfaisant" xfId="34" builtinId="26" customBuiltin="1"/>
    <cellStyle name="Sortie" xfId="35" builtinId="21" customBuiltin="1"/>
    <cellStyle name="Texte explicatif" xfId="36" builtinId="53" customBuiltin="1"/>
    <cellStyle name="Titre" xfId="37" builtinId="15" customBuiltin="1"/>
    <cellStyle name="Titre 1" xfId="38" builtinId="16" customBuiltin="1"/>
    <cellStyle name="Titre 2" xfId="39" builtinId="17" customBuiltin="1"/>
    <cellStyle name="Titre 3" xfId="40" builtinId="18" customBuiltin="1"/>
    <cellStyle name="Titre 4" xfId="41" builtinId="19" customBuiltin="1"/>
    <cellStyle name="Total" xfId="42" builtinId="25" customBuiltin="1"/>
    <cellStyle name="Vérification" xfId="4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0</xdr:col>
      <xdr:colOff>1504950</xdr:colOff>
      <xdr:row>1</xdr:row>
      <xdr:rowOff>133350</xdr:rowOff>
    </xdr:to>
    <xdr:pic>
      <xdr:nvPicPr>
        <xdr:cNvPr id="4" name="Picture 2" descr="image_gallery">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5" y="504825"/>
          <a:ext cx="1457325" cy="285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4</xdr:row>
      <xdr:rowOff>9525</xdr:rowOff>
    </xdr:from>
    <xdr:to>
      <xdr:col>10</xdr:col>
      <xdr:colOff>733425</xdr:colOff>
      <xdr:row>12</xdr:row>
      <xdr:rowOff>133350</xdr:rowOff>
    </xdr:to>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bwMode="auto">
        <a:xfrm>
          <a:off x="0" y="657225"/>
          <a:ext cx="8734425" cy="1292225"/>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fr-FR" sz="1000" b="1" i="1">
              <a:effectLst/>
              <a:latin typeface="Arial" pitchFamily="34" charset="0"/>
              <a:ea typeface="+mn-ea"/>
              <a:cs typeface="Arial" pitchFamily="34" charset="0"/>
            </a:rPr>
            <a:t>Classification PEGI</a:t>
          </a:r>
        </a:p>
        <a:p>
          <a:r>
            <a:rPr lang="fr-FR" sz="1000">
              <a:effectLst/>
              <a:latin typeface="Arial" pitchFamily="34" charset="0"/>
              <a:ea typeface="+mn-ea"/>
              <a:cs typeface="Arial" pitchFamily="34" charset="0"/>
            </a:rPr>
            <a:t>Les jeux vidéo font l’objet d’une classification selon l’âge du public auxquels ils sont destinés. Cette classification européenne est baptisée PEGI (Pan European Game Information). Elle permet un étiquetage clair des contenus proposés (3+, 7+, 12+, 16+, 18+) qui a pour but d’informer les acheteurs potentiels et d’encadrer l’accès des jeux aux mineurs.</a:t>
          </a:r>
        </a:p>
        <a:p>
          <a:r>
            <a:rPr lang="fr-FR" sz="1100">
              <a:effectLst/>
              <a:latin typeface="+mn-lt"/>
              <a:ea typeface="+mn-ea"/>
              <a:cs typeface="+mn-cs"/>
            </a:rPr>
            <a:t> </a:t>
          </a:r>
        </a:p>
        <a:p>
          <a:r>
            <a:rPr lang="fr-FR" sz="1000" b="1" i="1">
              <a:effectLst/>
              <a:latin typeface="Arial" pitchFamily="34" charset="0"/>
              <a:ea typeface="+mn-ea"/>
              <a:cs typeface="Arial" pitchFamily="34" charset="0"/>
            </a:rPr>
            <a:t>Support de lecture et plates-formes</a:t>
          </a:r>
        </a:p>
        <a:p>
          <a:r>
            <a:rPr lang="fr-FR" sz="1000">
              <a:effectLst/>
              <a:latin typeface="Arial" pitchFamily="34" charset="0"/>
              <a:ea typeface="+mn-ea"/>
              <a:cs typeface="Arial" pitchFamily="34" charset="0"/>
            </a:rPr>
            <a:t>Dans l’univers du jeu vidéo, il existe plusieurs supports (et plates-formes) de lecture : consoles de salon (Wii U, Wii, PS3, Xbox 360,…), consoles portables (DS et 3DS, PSP,…), ordinateurs. Un même titre de jeu peut être conçu pour être lu sur plusieurs plates-formes.</a:t>
          </a:r>
        </a:p>
        <a:p>
          <a:pPr marL="0" marR="0" indent="0" algn="l" defTabSz="914400" rtl="0" eaLnBrk="1" fontAlgn="auto" latinLnBrk="0" hangingPunct="1">
            <a:lnSpc>
              <a:spcPct val="100000"/>
            </a:lnSpc>
            <a:spcBef>
              <a:spcPts val="0"/>
            </a:spcBef>
            <a:spcAft>
              <a:spcPts val="0"/>
            </a:spcAft>
            <a:buClrTx/>
            <a:buSzTx/>
            <a:buFontTx/>
            <a:buNone/>
            <a:tabLst/>
            <a:defRPr sz="1000"/>
          </a:pPr>
          <a:endParaRPr lang="fr-FR" sz="1000">
            <a:effectLst/>
            <a:latin typeface="Arial" pitchFamily="34" charset="0"/>
            <a:ea typeface="+mn-ea"/>
            <a:cs typeface="Arial" pitchFamily="34" charset="0"/>
          </a:endParaRPr>
        </a:p>
      </xdr:txBody>
    </xdr:sp>
    <xdr:clientData/>
  </xdr:twoCellAnchor>
  <xdr:twoCellAnchor>
    <xdr:from>
      <xdr:col>0</xdr:col>
      <xdr:colOff>0</xdr:colOff>
      <xdr:row>16</xdr:row>
      <xdr:rowOff>0</xdr:rowOff>
    </xdr:from>
    <xdr:to>
      <xdr:col>10</xdr:col>
      <xdr:colOff>733425</xdr:colOff>
      <xdr:row>23</xdr:row>
      <xdr:rowOff>133350</xdr:rowOff>
    </xdr:to>
    <xdr:sp macro="" textlink="">
      <xdr:nvSpPr>
        <xdr:cNvPr id="3" name="Rectangle 2">
          <a:extLst>
            <a:ext uri="{FF2B5EF4-FFF2-40B4-BE49-F238E27FC236}">
              <a16:creationId xmlns:a16="http://schemas.microsoft.com/office/drawing/2014/main" id="{00000000-0008-0000-0100-000003000000}"/>
            </a:ext>
          </a:extLst>
        </xdr:cNvPr>
        <xdr:cNvSpPr>
          <a:spLocks noChangeArrowheads="1"/>
        </xdr:cNvSpPr>
      </xdr:nvSpPr>
      <xdr:spPr bwMode="auto">
        <a:xfrm>
          <a:off x="0" y="6540500"/>
          <a:ext cx="8734425" cy="1301750"/>
        </a:xfrm>
        <a:prstGeom prst="rec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22860" rIns="0" bIns="0" anchor="t" upright="1"/>
        <a:lstStyle/>
        <a:p>
          <a:pPr algn="l" rtl="0">
            <a:defRPr sz="1000"/>
          </a:pPr>
          <a:r>
            <a:rPr lang="fr-FR" sz="1000">
              <a:effectLst/>
              <a:latin typeface="Arial" pitchFamily="34" charset="0"/>
              <a:ea typeface="+mn-ea"/>
              <a:cs typeface="Arial" pitchFamily="34" charset="0"/>
            </a:rPr>
            <a:t>SELL, IDC,</a:t>
          </a:r>
          <a:r>
            <a:rPr lang="fr-FR" sz="1000" baseline="0">
              <a:effectLst/>
              <a:latin typeface="Arial" pitchFamily="34" charset="0"/>
              <a:ea typeface="+mn-ea"/>
              <a:cs typeface="Arial" pitchFamily="34" charset="0"/>
            </a:rPr>
            <a:t> </a:t>
          </a:r>
          <a:r>
            <a:rPr lang="fr-FR" sz="1000">
              <a:effectLst/>
              <a:latin typeface="Arial" pitchFamily="34" charset="0"/>
              <a:ea typeface="+mn-ea"/>
              <a:cs typeface="Arial" pitchFamily="34" charset="0"/>
            </a:rPr>
            <a:t>GSD, GameTrack,</a:t>
          </a:r>
          <a:r>
            <a:rPr lang="fr-FR" sz="1000" baseline="0">
              <a:effectLst/>
              <a:latin typeface="Arial" pitchFamily="34" charset="0"/>
              <a:ea typeface="+mn-ea"/>
              <a:cs typeface="Arial" pitchFamily="34" charset="0"/>
            </a:rPr>
            <a:t> Sensor Tower</a:t>
          </a:r>
        </a:p>
        <a:p>
          <a:pPr algn="l" rtl="0">
            <a:defRPr sz="1000"/>
          </a:pPr>
          <a:r>
            <a:rPr lang="fr-FR">
              <a:latin typeface="Arial" pitchFamily="34" charset="0"/>
              <a:cs typeface="Arial" pitchFamily="34" charset="0"/>
            </a:rPr>
            <a:t>Les données du SELL concernent aussi bien le marché physique du jeu vidéo (hardware, software et accessoires) que le marché dématérialisé et sont issues de quatre principales sources : IDC, GSD, GameTrack et Sensor</a:t>
          </a:r>
          <a:r>
            <a:rPr lang="fr-FR" baseline="0">
              <a:latin typeface="Arial" pitchFamily="34" charset="0"/>
              <a:cs typeface="Arial" pitchFamily="34" charset="0"/>
            </a:rPr>
            <a:t> Tower</a:t>
          </a:r>
          <a:r>
            <a:rPr lang="fr-FR">
              <a:latin typeface="Arial" pitchFamily="34" charset="0"/>
              <a:cs typeface="Arial" pitchFamily="34" charset="0"/>
            </a:rPr>
            <a:t>. IDC couvre les données sur le matériel PC et GSD les marchés physiques, à partir d’un panel de distributeurs et d’éditeurs et le marché du digital, à partir d’un panel d’éditeurs.Les données du marché dématérialisé sont complétées par l’outil </a:t>
          </a:r>
          <a:r>
            <a:rPr lang="fr-FR" i="1">
              <a:latin typeface="Arial" pitchFamily="34" charset="0"/>
              <a:cs typeface="Arial" pitchFamily="34" charset="0"/>
            </a:rPr>
            <a:t>GameTrack</a:t>
          </a:r>
          <a:r>
            <a:rPr lang="fr-FR">
              <a:latin typeface="Arial" pitchFamily="34" charset="0"/>
              <a:cs typeface="Arial" pitchFamily="34" charset="0"/>
            </a:rPr>
            <a:t>, qui administre une enquête annuelle sur un échantillon de 1 000 personnes de 15 ans et plus, ainsi qu’une enquête mensuelle conduite sur un échantillon de 3 000 personnes âgées de 6 à 64 ans. Sensor Tower fournit des informations et des données sur les applications mobiles afin de produire des estimations en matière de dépenses utilisateurs et de revenus.</a:t>
          </a:r>
        </a:p>
        <a:p>
          <a:pPr algn="l" rtl="0">
            <a:defRPr sz="1000"/>
          </a:pPr>
          <a:endParaRPr lang="fr-FR">
            <a:latin typeface="Arial" pitchFamily="34" charset="0"/>
            <a:cs typeface="Arial"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10</xdr:col>
      <xdr:colOff>581028</xdr:colOff>
      <xdr:row>10</xdr:row>
      <xdr:rowOff>63465</xdr:rowOff>
    </xdr:to>
    <xdr:sp macro="" textlink="">
      <xdr:nvSpPr>
        <xdr:cNvPr id="2" name="EsriDoNotEdit">
          <a:extLst>
            <a:ext uri="{FF2B5EF4-FFF2-40B4-BE49-F238E27FC236}">
              <a16:creationId xmlns:a16="http://schemas.microsoft.com/office/drawing/2014/main" id="{B1AFBAE5-4219-4FAE-9F0F-EF88B1BBAE16}"/>
            </a:ext>
          </a:extLst>
        </xdr:cNvPr>
        <xdr:cNvSpPr/>
      </xdr:nvSpPr>
      <xdr:spPr>
        <a:xfrm>
          <a:off x="0" y="0"/>
          <a:ext cx="8201028" cy="1650965"/>
        </a:xfrm>
        <a:prstGeom prst="rect">
          <a:avLst/>
        </a:prstGeom>
        <a:noFill/>
      </xdr:spPr>
      <xdr:txBody>
        <a:bodyPr wrap="none" lIns="91440" tIns="45720" rIns="91440" bIns="45720">
          <a:spAutoFit/>
        </a:bodyPr>
        <a:lstStyle/>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NE PAS MODIFIER </a:t>
          </a:r>
        </a:p>
        <a:p>
          <a:pPr algn="ctr"/>
          <a:r>
            <a:rPr lang="fr-FR" sz="5000" b="1" i="0" cap="none" spc="0">
              <a:ln w="18000">
                <a:solidFill>
                  <a:schemeClr val="accent2">
                    <a:satMod val="140000"/>
                  </a:schemeClr>
                </a:solidFill>
                <a:prstDash val="solid"/>
                <a:miter lim="800000"/>
              </a:ln>
              <a:noFill/>
              <a:effectLst>
                <a:outerShdw blurRad="25500" dist="23000" dir="7020000" algn="tl">
                  <a:srgbClr val="000000">
                    <a:alpha val="50000"/>
                  </a:srgbClr>
                </a:outerShdw>
              </a:effectLst>
              <a:latin typeface="Verdana" panose="020B0604030504040204" pitchFamily="34" charset="0"/>
            </a:rPr>
            <a:t> Pour Esri uniquement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1"/>
  <sheetViews>
    <sheetView topLeftCell="A3" zoomScale="175" zoomScaleNormal="175" workbookViewId="0">
      <selection activeCell="A11" sqref="A11"/>
    </sheetView>
  </sheetViews>
  <sheetFormatPr baseColWidth="10" defaultColWidth="11.42578125" defaultRowHeight="12" x14ac:dyDescent="0.2"/>
  <cols>
    <col min="1" max="1" width="48.28515625" style="5" bestFit="1" customWidth="1"/>
    <col min="2" max="2" width="60.42578125" style="5" customWidth="1"/>
    <col min="3" max="16384" width="11.42578125" style="5"/>
  </cols>
  <sheetData>
    <row r="1" spans="1:2" ht="15.75" x14ac:dyDescent="0.25">
      <c r="A1" s="28"/>
    </row>
    <row r="5" spans="1:2" ht="26.25" x14ac:dyDescent="0.4">
      <c r="A5" s="29" t="s">
        <v>16</v>
      </c>
    </row>
    <row r="7" spans="1:2" x14ac:dyDescent="0.2">
      <c r="A7" s="53" t="s">
        <v>87</v>
      </c>
    </row>
    <row r="9" spans="1:2" s="30" customFormat="1" ht="15" x14ac:dyDescent="0.2">
      <c r="B9" s="32" t="s">
        <v>17</v>
      </c>
    </row>
    <row r="10" spans="1:2" s="30" customFormat="1" ht="15" x14ac:dyDescent="0.2">
      <c r="B10" s="32" t="s">
        <v>75</v>
      </c>
    </row>
    <row r="11" spans="1:2" s="30" customFormat="1" ht="15" x14ac:dyDescent="0.2">
      <c r="B11" s="32" t="s">
        <v>43</v>
      </c>
    </row>
    <row r="12" spans="1:2" s="30" customFormat="1" ht="15" x14ac:dyDescent="0.2">
      <c r="B12" s="32" t="s">
        <v>76</v>
      </c>
    </row>
    <row r="13" spans="1:2" s="30" customFormat="1" ht="15" x14ac:dyDescent="0.2">
      <c r="B13" s="32" t="s">
        <v>30</v>
      </c>
    </row>
    <row r="14" spans="1:2" ht="15" x14ac:dyDescent="0.2">
      <c r="B14" s="32" t="s">
        <v>61</v>
      </c>
    </row>
    <row r="15" spans="1:2" ht="15" x14ac:dyDescent="0.2">
      <c r="B15" s="32" t="s">
        <v>64</v>
      </c>
    </row>
    <row r="16" spans="1:2" ht="15" x14ac:dyDescent="0.2">
      <c r="B16" s="32" t="s">
        <v>69</v>
      </c>
    </row>
    <row r="41" spans="1:1" ht="15.75" x14ac:dyDescent="0.25">
      <c r="A41" s="28"/>
    </row>
  </sheetData>
  <hyperlinks>
    <hyperlink ref="B9" location="Définitions!A1" display="Définitions et sources" xr:uid="{00000000-0004-0000-0000-000000000000}"/>
    <hyperlink ref="B10" location="écosysteme!Impression_des_titres" display="Marché du jeu vidéo sur support physique selon les supports de lecture" xr:uid="{00000000-0004-0000-0000-000002000000}"/>
    <hyperlink ref="B12" location="logiciel!Impression_des_titres" display="Marché des jeux vidéo selon les supports de lecture" xr:uid="{00000000-0004-0000-0000-000004000000}"/>
    <hyperlink ref="B13" location="genreConsole!Impression_des_titres" display="Marché du jeu vidéo console selon le genre" xr:uid="{00000000-0004-0000-0000-000005000000}"/>
    <hyperlink ref="B15" location="PEGIConsole!Zone_d_impression" display="Marché du jeu vidéo console selon la classification PEGI" xr:uid="{4C2FD272-BB60-4409-83B0-370CE4CE194E}"/>
    <hyperlink ref="B11" location="segment!A1" display="Marché du jeu vidéo selon le segment" xr:uid="{55F98C35-3416-4359-A5AB-A0AC4B5C3D53}"/>
    <hyperlink ref="B14" location="genrePC!Impression_des_titres" display="Marché du jeu vidéo PC selon le genre" xr:uid="{6E9398A2-B9E8-4D17-B5E3-BB89A0872EFA}"/>
    <hyperlink ref="B16" location="PEGIPC!Zone_d_impression" display="Marché du jeu vidéo PC selon la classification PEGI" xr:uid="{FF5D786B-619F-4D04-97EB-F7486D717347}"/>
  </hyperlinks>
  <pageMargins left="0.59055118110236227" right="0.59055118110236227" top="0.78740157480314965" bottom="0.78740157480314965" header="0.39370078740157483" footer="0.39370078740157483"/>
  <pageSetup paperSize="9" orientation="portrait" r:id="rId1"/>
  <headerFooter alignWithMargins="0">
    <oddFooter>&amp;R&amp;"Arial,Gras italique"&amp;9Marché du jeu vidéo</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16"/>
  <sheetViews>
    <sheetView workbookViewId="0"/>
  </sheetViews>
  <sheetFormatPr baseColWidth="10" defaultColWidth="11.42578125" defaultRowHeight="12" x14ac:dyDescent="0.2"/>
  <cols>
    <col min="1" max="16384" width="11.42578125" style="5"/>
  </cols>
  <sheetData>
    <row r="2" spans="1:1" ht="12.75" x14ac:dyDescent="0.2">
      <c r="A2" s="31" t="s">
        <v>18</v>
      </c>
    </row>
    <row r="4" spans="1:1" ht="15.75" x14ac:dyDescent="0.25">
      <c r="A4" s="28" t="s">
        <v>14</v>
      </c>
    </row>
    <row r="16" spans="1:1" ht="15.75" x14ac:dyDescent="0.25">
      <c r="A16" s="28" t="s">
        <v>15</v>
      </c>
    </row>
  </sheetData>
  <hyperlinks>
    <hyperlink ref="A2" location="Sommaire!A5" display="Retour au menu &quot;Marché du jeu vidéo&quot;" xr:uid="{00000000-0004-0000-0100-000000000000}"/>
  </hyperlinks>
  <pageMargins left="0.59055118110236227" right="0.59055118110236227" top="0.39370078740157483" bottom="0.39370078740157483" header="0.31496062992125984" footer="0.31496062992125984"/>
  <pageSetup paperSize="9" orientation="landscape" r:id="rId1"/>
  <headerFooter alignWithMargins="0">
    <oddFooter>&amp;L&amp;G&amp;R&amp;"Arial,Gras italique"&amp;9Marché du jeu vidéo</oddFooter>
  </headerFooter>
  <rowBreaks count="1" manualBreakCount="1">
    <brk id="15" max="16383" man="1"/>
  </rowBreaks>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94D9E-6E0D-4879-B68D-FAF3BACAE1BA}">
  <dimension ref="A1:I23"/>
  <sheetViews>
    <sheetView zoomScaleNormal="100" workbookViewId="0">
      <selection activeCell="B1" sqref="B1"/>
    </sheetView>
  </sheetViews>
  <sheetFormatPr baseColWidth="10" defaultColWidth="11.42578125" defaultRowHeight="12" x14ac:dyDescent="0.2"/>
  <cols>
    <col min="1" max="1" width="18.5703125" style="6" customWidth="1"/>
    <col min="2" max="4" width="6.28515625" style="6" bestFit="1" customWidth="1"/>
    <col min="5" max="9" width="6.28515625" style="5" bestFit="1" customWidth="1"/>
    <col min="10" max="16384" width="11.42578125" style="5"/>
  </cols>
  <sheetData>
    <row r="1" spans="1:9" x14ac:dyDescent="0.2">
      <c r="B1" s="5"/>
      <c r="C1" s="5"/>
      <c r="D1" s="5"/>
    </row>
    <row r="2" spans="1:9" ht="12.75" x14ac:dyDescent="0.2">
      <c r="A2" s="31" t="s">
        <v>18</v>
      </c>
      <c r="B2" s="5"/>
      <c r="C2" s="5"/>
      <c r="D2" s="5"/>
    </row>
    <row r="3" spans="1:9" x14ac:dyDescent="0.2">
      <c r="B3" s="5"/>
      <c r="C3" s="5"/>
      <c r="D3" s="5"/>
    </row>
    <row r="4" spans="1:9" ht="15" x14ac:dyDescent="0.25">
      <c r="A4" s="25" t="s">
        <v>74</v>
      </c>
      <c r="B4" s="5"/>
      <c r="C4" s="5"/>
      <c r="D4" s="5"/>
    </row>
    <row r="5" spans="1:9" ht="15" x14ac:dyDescent="0.25">
      <c r="A5" s="25"/>
      <c r="B5" s="5"/>
      <c r="C5" s="5"/>
      <c r="D5" s="5"/>
    </row>
    <row r="6" spans="1:9" x14ac:dyDescent="0.2">
      <c r="A6" s="7" t="s">
        <v>47</v>
      </c>
      <c r="B6" s="13"/>
      <c r="C6" s="10"/>
      <c r="D6" s="10"/>
    </row>
    <row r="7" spans="1:9" ht="3" customHeight="1" x14ac:dyDescent="0.2">
      <c r="A7" s="7"/>
      <c r="B7" s="13"/>
      <c r="C7" s="10"/>
      <c r="D7" s="10"/>
    </row>
    <row r="8" spans="1:9" x14ac:dyDescent="0.2">
      <c r="A8" s="8"/>
      <c r="B8" s="27">
        <v>2017</v>
      </c>
      <c r="C8" s="27">
        <v>2018</v>
      </c>
      <c r="D8" s="27">
        <v>2019</v>
      </c>
      <c r="E8" s="27">
        <v>2020</v>
      </c>
      <c r="F8" s="1">
        <v>2021</v>
      </c>
      <c r="G8" s="1">
        <v>2022</v>
      </c>
      <c r="H8" s="1">
        <v>2023</v>
      </c>
      <c r="I8" s="1">
        <v>2024</v>
      </c>
    </row>
    <row r="9" spans="1:9" x14ac:dyDescent="0.2">
      <c r="A9" s="9" t="s">
        <v>44</v>
      </c>
      <c r="B9" s="54">
        <v>2401</v>
      </c>
      <c r="C9" s="54">
        <v>2749</v>
      </c>
      <c r="D9" s="54">
        <v>2459.3167410055307</v>
      </c>
      <c r="E9" s="54">
        <v>2688.3266705324982</v>
      </c>
      <c r="F9" s="55">
        <v>2714.4247289019149</v>
      </c>
      <c r="G9" s="55">
        <v>2537</v>
      </c>
      <c r="H9" s="55">
        <v>3149</v>
      </c>
      <c r="I9" s="55">
        <v>2554.3618413600693</v>
      </c>
    </row>
    <row r="10" spans="1:9" x14ac:dyDescent="0.2">
      <c r="A10" s="9" t="s">
        <v>45</v>
      </c>
      <c r="B10" s="54">
        <v>1292.2321960830527</v>
      </c>
      <c r="C10" s="54">
        <v>1457.6654968794369</v>
      </c>
      <c r="D10" s="54">
        <v>1288.9883243769375</v>
      </c>
      <c r="E10" s="54">
        <v>1448.4562323499999</v>
      </c>
      <c r="F10" s="55">
        <v>1497.3330000000001</v>
      </c>
      <c r="G10" s="55">
        <v>1565</v>
      </c>
      <c r="H10" s="55">
        <v>1391.8</v>
      </c>
      <c r="I10" s="55">
        <v>1518.5490343399997</v>
      </c>
    </row>
    <row r="11" spans="1:9" x14ac:dyDescent="0.2">
      <c r="A11" s="9" t="s">
        <v>46</v>
      </c>
      <c r="B11" s="54">
        <v>778</v>
      </c>
      <c r="C11" s="54">
        <v>965</v>
      </c>
      <c r="D11" s="54">
        <v>1231</v>
      </c>
      <c r="E11" s="54">
        <v>1425.6972271650175</v>
      </c>
      <c r="F11" s="55">
        <v>1411</v>
      </c>
      <c r="G11" s="55">
        <v>1415</v>
      </c>
      <c r="H11" s="55">
        <v>1483</v>
      </c>
      <c r="I11" s="55">
        <v>1604</v>
      </c>
    </row>
    <row r="12" spans="1:9" x14ac:dyDescent="0.2">
      <c r="A12" s="26" t="s">
        <v>40</v>
      </c>
      <c r="B12" s="56">
        <v>4471.2321960830523</v>
      </c>
      <c r="C12" s="56">
        <v>5171.6654968794373</v>
      </c>
      <c r="D12" s="56">
        <v>4979.3050653824685</v>
      </c>
      <c r="E12" s="56">
        <v>5562.4801300475156</v>
      </c>
      <c r="F12" s="56">
        <v>5622.7577289019155</v>
      </c>
      <c r="G12" s="56">
        <v>5517</v>
      </c>
      <c r="H12" s="56">
        <v>6023.8</v>
      </c>
      <c r="I12" s="56">
        <v>5676.9108757000686</v>
      </c>
    </row>
    <row r="13" spans="1:9" x14ac:dyDescent="0.2">
      <c r="B13" s="45"/>
      <c r="C13" s="33"/>
      <c r="D13" s="33"/>
      <c r="E13" s="33"/>
      <c r="H13" s="49"/>
    </row>
    <row r="14" spans="1:9" x14ac:dyDescent="0.2">
      <c r="A14" s="7" t="s">
        <v>48</v>
      </c>
      <c r="B14" s="10"/>
      <c r="C14" s="10"/>
      <c r="D14" s="10"/>
      <c r="E14" s="10"/>
    </row>
    <row r="15" spans="1:9" ht="3" customHeight="1" x14ac:dyDescent="0.2">
      <c r="A15" s="7"/>
      <c r="B15" s="10"/>
      <c r="C15" s="10"/>
      <c r="D15" s="10"/>
      <c r="E15" s="10"/>
    </row>
    <row r="16" spans="1:9" x14ac:dyDescent="0.2">
      <c r="A16" s="8"/>
      <c r="B16" s="27">
        <v>2017</v>
      </c>
      <c r="C16" s="27">
        <v>2018</v>
      </c>
      <c r="D16" s="27">
        <v>2019</v>
      </c>
      <c r="E16" s="27">
        <v>2020</v>
      </c>
      <c r="F16" s="27">
        <v>2021</v>
      </c>
      <c r="G16" s="27">
        <v>2022</v>
      </c>
      <c r="H16" s="27">
        <v>2023</v>
      </c>
      <c r="I16" s="27">
        <v>2024</v>
      </c>
    </row>
    <row r="17" spans="1:9" x14ac:dyDescent="0.2">
      <c r="A17" s="9" t="s">
        <v>44</v>
      </c>
      <c r="B17" s="11">
        <f>B9/B12*100</f>
        <v>53.698843958570428</v>
      </c>
      <c r="C17" s="11">
        <f t="shared" ref="C17:F17" si="0">C9/C12*100</f>
        <v>53.15502330262342</v>
      </c>
      <c r="D17" s="11">
        <f t="shared" si="0"/>
        <v>49.390762540407366</v>
      </c>
      <c r="E17" s="11">
        <f t="shared" si="0"/>
        <v>48.329640873872819</v>
      </c>
      <c r="F17" s="11">
        <f t="shared" si="0"/>
        <v>48.275683566256419</v>
      </c>
      <c r="G17" s="11">
        <f t="shared" ref="G17:H17" si="1">G9/G12*100</f>
        <v>45.985136849737174</v>
      </c>
      <c r="H17" s="11">
        <f t="shared" si="1"/>
        <v>52.275971977821314</v>
      </c>
      <c r="I17" s="11">
        <f t="shared" ref="I17" si="2">I9/I12*100</f>
        <v>44.995630498515951</v>
      </c>
    </row>
    <row r="18" spans="1:9" x14ac:dyDescent="0.2">
      <c r="A18" s="9" t="s">
        <v>45</v>
      </c>
      <c r="B18" s="11">
        <f>B10/B12*100</f>
        <v>28.901030843692059</v>
      </c>
      <c r="C18" s="11">
        <f t="shared" ref="C18:F18" si="3">C10/C12*100</f>
        <v>28.18561056895475</v>
      </c>
      <c r="D18" s="11">
        <f t="shared" si="3"/>
        <v>25.886912078120044</v>
      </c>
      <c r="E18" s="11">
        <f t="shared" si="3"/>
        <v>26.039755621340564</v>
      </c>
      <c r="F18" s="11">
        <f t="shared" si="3"/>
        <v>26.629868690650817</v>
      </c>
      <c r="G18" s="11">
        <f>G10/G12*100</f>
        <v>28.366866050389707</v>
      </c>
      <c r="H18" s="11">
        <f t="shared" ref="H18" si="4">H10/H12*100</f>
        <v>23.105016766824924</v>
      </c>
      <c r="I18" s="11">
        <f t="shared" ref="I18" si="5">I10/I12*100</f>
        <v>26.74956622694441</v>
      </c>
    </row>
    <row r="19" spans="1:9" x14ac:dyDescent="0.2">
      <c r="A19" s="9" t="s">
        <v>46</v>
      </c>
      <c r="B19" s="11">
        <f>B11/B12*100</f>
        <v>17.400125197737523</v>
      </c>
      <c r="C19" s="11">
        <f t="shared" ref="C19:F19" si="6">C11/C12*100</f>
        <v>18.659366128421826</v>
      </c>
      <c r="D19" s="11">
        <f t="shared" si="6"/>
        <v>24.722325381472583</v>
      </c>
      <c r="E19" s="11">
        <f t="shared" si="6"/>
        <v>25.630603504786613</v>
      </c>
      <c r="F19" s="11">
        <f t="shared" si="6"/>
        <v>25.094447743092751</v>
      </c>
      <c r="G19" s="11">
        <f t="shared" ref="G19:H19" si="7">G11/G12*100</f>
        <v>25.64799709987312</v>
      </c>
      <c r="H19" s="11">
        <f t="shared" si="7"/>
        <v>24.619011255353762</v>
      </c>
      <c r="I19" s="11">
        <f t="shared" ref="I19" si="8">I11/I12*100</f>
        <v>28.25480327453964</v>
      </c>
    </row>
    <row r="20" spans="1:9" x14ac:dyDescent="0.2">
      <c r="A20" s="26" t="s">
        <v>40</v>
      </c>
      <c r="B20" s="12">
        <v>100</v>
      </c>
      <c r="C20" s="12">
        <v>100</v>
      </c>
      <c r="D20" s="12">
        <v>99.999999999999972</v>
      </c>
      <c r="E20" s="12">
        <v>100</v>
      </c>
      <c r="F20" s="12">
        <v>100</v>
      </c>
      <c r="G20" s="12">
        <v>100</v>
      </c>
      <c r="H20" s="12">
        <v>100</v>
      </c>
      <c r="I20" s="12">
        <v>100</v>
      </c>
    </row>
    <row r="21" spans="1:9" ht="9.9499999999999993" customHeight="1" x14ac:dyDescent="0.2">
      <c r="A21" s="50" t="s">
        <v>85</v>
      </c>
      <c r="B21" s="18"/>
      <c r="C21" s="10"/>
      <c r="D21" s="10"/>
    </row>
    <row r="22" spans="1:9" x14ac:dyDescent="0.2">
      <c r="A22" s="35"/>
      <c r="B22" s="18"/>
      <c r="C22" s="10"/>
      <c r="D22" s="10"/>
    </row>
    <row r="23" spans="1:9" x14ac:dyDescent="0.2">
      <c r="A23" s="7"/>
      <c r="B23" s="18"/>
      <c r="C23" s="10"/>
      <c r="D23" s="10"/>
    </row>
  </sheetData>
  <hyperlinks>
    <hyperlink ref="A2" location="Sommaire!A5" display="Retour au menu &quot;Marché du jeu vidéo&quot;" xr:uid="{1AE78321-0D75-4740-BA43-3250A19426BC}"/>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B307-DD6D-4179-9C62-0D6585BDCA0F}">
  <dimension ref="A1:I54"/>
  <sheetViews>
    <sheetView workbookViewId="0"/>
  </sheetViews>
  <sheetFormatPr baseColWidth="10" defaultColWidth="11.42578125" defaultRowHeight="12" x14ac:dyDescent="0.2"/>
  <cols>
    <col min="1" max="1" width="23.140625" style="6" customWidth="1"/>
    <col min="2" max="5" width="6.28515625" style="6" bestFit="1" customWidth="1"/>
    <col min="6" max="9" width="6.28515625" style="5" bestFit="1" customWidth="1"/>
    <col min="10" max="16384" width="11.42578125" style="5"/>
  </cols>
  <sheetData>
    <row r="1" spans="1:9" x14ac:dyDescent="0.2">
      <c r="B1" s="5"/>
      <c r="C1" s="5"/>
      <c r="D1" s="5"/>
      <c r="E1" s="5"/>
    </row>
    <row r="2" spans="1:9" ht="12.75" x14ac:dyDescent="0.2">
      <c r="A2" s="31" t="s">
        <v>18</v>
      </c>
      <c r="B2" s="5"/>
      <c r="C2" s="5"/>
      <c r="D2" s="5"/>
      <c r="E2" s="5"/>
    </row>
    <row r="3" spans="1:9" x14ac:dyDescent="0.2">
      <c r="B3" s="5"/>
      <c r="C3" s="5"/>
      <c r="D3" s="5"/>
      <c r="E3" s="5"/>
    </row>
    <row r="4" spans="1:9" ht="15" x14ac:dyDescent="0.25">
      <c r="A4" s="25" t="s">
        <v>43</v>
      </c>
      <c r="B4" s="5"/>
      <c r="C4" s="5"/>
      <c r="D4" s="5"/>
      <c r="E4" s="5"/>
    </row>
    <row r="5" spans="1:9" ht="15" x14ac:dyDescent="0.25">
      <c r="A5" s="25"/>
      <c r="B5" s="5"/>
      <c r="C5" s="5"/>
      <c r="D5" s="5"/>
      <c r="E5" s="5"/>
    </row>
    <row r="6" spans="1:9" x14ac:dyDescent="0.2">
      <c r="A6" s="7" t="s">
        <v>41</v>
      </c>
      <c r="B6" s="13"/>
      <c r="C6" s="13"/>
      <c r="D6" s="10"/>
      <c r="E6" s="10"/>
    </row>
    <row r="7" spans="1:9" ht="3" customHeight="1" x14ac:dyDescent="0.2">
      <c r="A7" s="7"/>
      <c r="B7" s="13"/>
      <c r="C7" s="13"/>
      <c r="D7" s="10"/>
      <c r="E7" s="10"/>
    </row>
    <row r="8" spans="1:9" x14ac:dyDescent="0.2">
      <c r="A8" s="8"/>
      <c r="B8" s="27">
        <v>2017</v>
      </c>
      <c r="C8" s="27">
        <v>2018</v>
      </c>
      <c r="D8" s="27">
        <v>2019</v>
      </c>
      <c r="E8" s="27">
        <v>2020</v>
      </c>
      <c r="F8" s="27">
        <v>2021</v>
      </c>
      <c r="G8" s="27">
        <v>2022</v>
      </c>
      <c r="H8" s="27">
        <v>2023</v>
      </c>
      <c r="I8" s="27">
        <v>2024</v>
      </c>
    </row>
    <row r="9" spans="1:9" x14ac:dyDescent="0.2">
      <c r="A9" s="9" t="s">
        <v>37</v>
      </c>
      <c r="B9" s="55">
        <v>1832</v>
      </c>
      <c r="C9" s="55">
        <v>2330</v>
      </c>
      <c r="D9" s="55">
        <v>2105.2403580948949</v>
      </c>
      <c r="E9" s="55">
        <v>2250.7829028824981</v>
      </c>
      <c r="F9" s="55">
        <v>1995.797728901915</v>
      </c>
      <c r="G9" s="55">
        <v>2106</v>
      </c>
      <c r="H9" s="55">
        <v>2248.8000000000002</v>
      </c>
      <c r="I9" s="55">
        <v>2021.509628190069</v>
      </c>
    </row>
    <row r="10" spans="1:9" x14ac:dyDescent="0.2">
      <c r="A10" s="9" t="s">
        <v>38</v>
      </c>
      <c r="B10" s="55">
        <v>1456.2321960830527</v>
      </c>
      <c r="C10" s="55">
        <v>1450.6654968794369</v>
      </c>
      <c r="D10" s="55">
        <v>1245.0647072875731</v>
      </c>
      <c r="E10" s="55">
        <v>1429</v>
      </c>
      <c r="F10" s="55">
        <v>1700.96</v>
      </c>
      <c r="G10" s="55">
        <v>1529</v>
      </c>
      <c r="H10" s="55">
        <v>1733</v>
      </c>
      <c r="I10" s="55">
        <v>1447.4114762900003</v>
      </c>
    </row>
    <row r="11" spans="1:9" x14ac:dyDescent="0.2">
      <c r="A11" s="9" t="s">
        <v>39</v>
      </c>
      <c r="B11" s="55">
        <v>405</v>
      </c>
      <c r="C11" s="55">
        <v>426</v>
      </c>
      <c r="D11" s="55">
        <v>398</v>
      </c>
      <c r="E11" s="55">
        <v>457</v>
      </c>
      <c r="F11" s="55">
        <v>515</v>
      </c>
      <c r="G11" s="55">
        <v>467</v>
      </c>
      <c r="H11" s="55">
        <v>559</v>
      </c>
      <c r="I11" s="55">
        <v>603.98977121999974</v>
      </c>
    </row>
    <row r="12" spans="1:9" x14ac:dyDescent="0.2">
      <c r="A12" s="39" t="s">
        <v>60</v>
      </c>
      <c r="B12" s="57">
        <v>778</v>
      </c>
      <c r="C12" s="57">
        <v>965</v>
      </c>
      <c r="D12" s="57">
        <v>1231</v>
      </c>
      <c r="E12" s="57">
        <v>1425.6972271650175</v>
      </c>
      <c r="F12" s="57">
        <v>1411</v>
      </c>
      <c r="G12" s="57">
        <v>1415</v>
      </c>
      <c r="H12" s="57">
        <v>1483</v>
      </c>
      <c r="I12" s="57">
        <v>1604</v>
      </c>
    </row>
    <row r="13" spans="1:9" x14ac:dyDescent="0.2">
      <c r="A13" s="26" t="s">
        <v>40</v>
      </c>
      <c r="B13" s="56">
        <v>4471.2321960830523</v>
      </c>
      <c r="C13" s="56">
        <v>5171.6654968794373</v>
      </c>
      <c r="D13" s="56">
        <v>4979.3050653824685</v>
      </c>
      <c r="E13" s="56">
        <v>5562.4801300475156</v>
      </c>
      <c r="F13" s="56">
        <v>5622.7577289019155</v>
      </c>
      <c r="G13" s="56">
        <v>5517</v>
      </c>
      <c r="H13" s="56">
        <v>6023.8</v>
      </c>
      <c r="I13" s="56">
        <v>5676.9108757000695</v>
      </c>
    </row>
    <row r="14" spans="1:9" x14ac:dyDescent="0.2">
      <c r="B14" s="33"/>
      <c r="C14" s="33"/>
      <c r="D14" s="33"/>
      <c r="E14" s="33"/>
    </row>
    <row r="15" spans="1:9" x14ac:dyDescent="0.2">
      <c r="A15" s="7" t="s">
        <v>42</v>
      </c>
      <c r="B15" s="13"/>
      <c r="C15" s="10"/>
      <c r="D15" s="10"/>
      <c r="E15" s="10"/>
    </row>
    <row r="16" spans="1:9" ht="3" customHeight="1" x14ac:dyDescent="0.2">
      <c r="A16" s="7"/>
      <c r="B16" s="13"/>
      <c r="C16" s="10"/>
      <c r="D16" s="10"/>
      <c r="E16" s="10"/>
    </row>
    <row r="17" spans="1:9" x14ac:dyDescent="0.2">
      <c r="A17" s="8"/>
      <c r="B17" s="27">
        <v>2017</v>
      </c>
      <c r="C17" s="27">
        <v>2018</v>
      </c>
      <c r="D17" s="27">
        <v>2019</v>
      </c>
      <c r="E17" s="27">
        <v>2020</v>
      </c>
      <c r="F17" s="27">
        <v>2021</v>
      </c>
      <c r="G17" s="27">
        <v>2022</v>
      </c>
      <c r="H17" s="27">
        <v>2023</v>
      </c>
      <c r="I17" s="27">
        <v>2024</v>
      </c>
    </row>
    <row r="18" spans="1:9" x14ac:dyDescent="0.2">
      <c r="A18" s="9" t="s">
        <v>37</v>
      </c>
      <c r="B18" s="37">
        <f>B9/B13*100</f>
        <v>40.973045452770108</v>
      </c>
      <c r="C18" s="37">
        <f t="shared" ref="C18:F18" si="0">C9/C13*100</f>
        <v>45.053184538054772</v>
      </c>
      <c r="D18" s="37">
        <f t="shared" si="0"/>
        <v>42.279802712453169</v>
      </c>
      <c r="E18" s="37">
        <f t="shared" si="0"/>
        <v>40.463657402103323</v>
      </c>
      <c r="F18" s="37">
        <f t="shared" si="0"/>
        <v>35.494997741823028</v>
      </c>
      <c r="G18" s="37">
        <f t="shared" ref="G18:I18" si="1">G9/G13*100</f>
        <v>38.172920065252853</v>
      </c>
      <c r="H18" s="37">
        <f t="shared" si="1"/>
        <v>37.331916730303135</v>
      </c>
      <c r="I18" s="37">
        <f t="shared" si="1"/>
        <v>35.609324726993869</v>
      </c>
    </row>
    <row r="19" spans="1:9" x14ac:dyDescent="0.2">
      <c r="A19" s="9" t="s">
        <v>38</v>
      </c>
      <c r="B19" s="37">
        <f>B10/B13*100</f>
        <v>32.568923558896365</v>
      </c>
      <c r="C19" s="37">
        <f t="shared" ref="C19:F19" si="2">C10/C13*100</f>
        <v>28.050257654033555</v>
      </c>
      <c r="D19" s="37">
        <f t="shared" si="2"/>
        <v>25.00478863895313</v>
      </c>
      <c r="E19" s="37">
        <f t="shared" si="2"/>
        <v>25.689979408300257</v>
      </c>
      <c r="F19" s="37">
        <f t="shared" si="2"/>
        <v>30.251347861864669</v>
      </c>
      <c r="G19" s="37">
        <f t="shared" ref="G19:I19" si="3">G10/G13*100</f>
        <v>27.714337502265725</v>
      </c>
      <c r="H19" s="37">
        <f t="shared" si="3"/>
        <v>28.769215445399915</v>
      </c>
      <c r="I19" s="37">
        <f t="shared" si="3"/>
        <v>25.496462917634013</v>
      </c>
    </row>
    <row r="20" spans="1:9" x14ac:dyDescent="0.2">
      <c r="A20" s="9" t="s">
        <v>39</v>
      </c>
      <c r="B20" s="37">
        <f>B11/B13*100</f>
        <v>9.0579057905960116</v>
      </c>
      <c r="C20" s="37">
        <f t="shared" ref="C20:F20" si="4">C11/C13*100</f>
        <v>8.2371916794898414</v>
      </c>
      <c r="D20" s="37">
        <f t="shared" si="4"/>
        <v>7.9930832671211105</v>
      </c>
      <c r="E20" s="37">
        <f t="shared" si="4"/>
        <v>8.2157596848098091</v>
      </c>
      <c r="F20" s="37">
        <f t="shared" si="4"/>
        <v>9.1592066532195364</v>
      </c>
      <c r="G20" s="37">
        <f t="shared" ref="G20:I20" si="5">G11/G13*100</f>
        <v>8.4647453326083024</v>
      </c>
      <c r="H20" s="37">
        <f t="shared" si="5"/>
        <v>9.2798565689431918</v>
      </c>
      <c r="I20" s="37">
        <f t="shared" si="5"/>
        <v>10.639409080832477</v>
      </c>
    </row>
    <row r="21" spans="1:9" x14ac:dyDescent="0.2">
      <c r="A21" s="39" t="s">
        <v>60</v>
      </c>
      <c r="B21" s="37">
        <f>B12/B13*100</f>
        <v>17.400125197737523</v>
      </c>
      <c r="C21" s="37">
        <f t="shared" ref="C21:F21" si="6">C12/C13*100</f>
        <v>18.659366128421826</v>
      </c>
      <c r="D21" s="37">
        <f t="shared" si="6"/>
        <v>24.722325381472583</v>
      </c>
      <c r="E21" s="37">
        <f t="shared" si="6"/>
        <v>25.630603504786613</v>
      </c>
      <c r="F21" s="37">
        <f t="shared" si="6"/>
        <v>25.094447743092751</v>
      </c>
      <c r="G21" s="37">
        <f t="shared" ref="G21:I21" si="7">G12/G13*100</f>
        <v>25.64799709987312</v>
      </c>
      <c r="H21" s="37">
        <f t="shared" si="7"/>
        <v>24.619011255353762</v>
      </c>
      <c r="I21" s="37">
        <f t="shared" si="7"/>
        <v>28.254803274539636</v>
      </c>
    </row>
    <row r="22" spans="1:9" x14ac:dyDescent="0.2">
      <c r="A22" s="26" t="s">
        <v>40</v>
      </c>
      <c r="B22" s="12">
        <v>100</v>
      </c>
      <c r="C22" s="12">
        <v>99.99974882692554</v>
      </c>
      <c r="D22" s="12">
        <v>99.999743137255294</v>
      </c>
      <c r="E22" s="12">
        <v>99.999714826849555</v>
      </c>
      <c r="F22" s="12">
        <v>99.999714826849555</v>
      </c>
      <c r="G22" s="12">
        <v>99.999714826849555</v>
      </c>
      <c r="H22" s="12">
        <v>99.999714826849555</v>
      </c>
      <c r="I22" s="12">
        <v>99.999714826849555</v>
      </c>
    </row>
    <row r="23" spans="1:9" x14ac:dyDescent="0.2">
      <c r="A23" s="7"/>
      <c r="B23" s="18"/>
      <c r="C23" s="18"/>
      <c r="D23" s="10"/>
      <c r="E23" s="10"/>
    </row>
    <row r="24" spans="1:9" x14ac:dyDescent="0.2">
      <c r="A24" s="7" t="s">
        <v>58</v>
      </c>
      <c r="B24" s="13"/>
      <c r="C24" s="13"/>
      <c r="D24" s="10"/>
      <c r="E24" s="10"/>
    </row>
    <row r="25" spans="1:9" ht="3" customHeight="1" x14ac:dyDescent="0.2">
      <c r="A25" s="7"/>
      <c r="B25" s="13"/>
      <c r="C25" s="13"/>
      <c r="D25" s="10"/>
      <c r="E25" s="10"/>
    </row>
    <row r="26" spans="1:9" x14ac:dyDescent="0.2">
      <c r="A26" s="8"/>
      <c r="B26" s="27">
        <v>2017</v>
      </c>
      <c r="C26" s="27">
        <v>2018</v>
      </c>
      <c r="D26" s="27">
        <v>2019</v>
      </c>
      <c r="E26" s="27">
        <v>2020</v>
      </c>
      <c r="F26" s="27">
        <v>2021</v>
      </c>
      <c r="G26" s="27">
        <v>2022</v>
      </c>
      <c r="H26" s="27">
        <v>2023</v>
      </c>
      <c r="I26" s="27">
        <v>2024</v>
      </c>
    </row>
    <row r="27" spans="1:9" x14ac:dyDescent="0.2">
      <c r="A27" s="39" t="s">
        <v>52</v>
      </c>
      <c r="B27" s="57">
        <v>784</v>
      </c>
      <c r="C27" s="57">
        <v>777</v>
      </c>
      <c r="D27" s="57">
        <v>611.904</v>
      </c>
      <c r="E27" s="57">
        <v>658</v>
      </c>
      <c r="F27" s="57">
        <v>760</v>
      </c>
      <c r="G27" s="57">
        <v>615</v>
      </c>
      <c r="H27" s="57">
        <v>1059</v>
      </c>
      <c r="I27" s="57">
        <v>692.39147629000024</v>
      </c>
    </row>
    <row r="28" spans="1:9" x14ac:dyDescent="0.2">
      <c r="A28" s="39" t="s">
        <v>51</v>
      </c>
      <c r="B28" s="57">
        <v>272</v>
      </c>
      <c r="C28" s="57">
        <v>278</v>
      </c>
      <c r="D28" s="57">
        <v>243</v>
      </c>
      <c r="E28" s="57">
        <v>271</v>
      </c>
      <c r="F28" s="57">
        <v>297</v>
      </c>
      <c r="G28" s="57">
        <v>289</v>
      </c>
      <c r="H28" s="57">
        <v>342</v>
      </c>
      <c r="I28" s="57">
        <v>328.26073688000014</v>
      </c>
    </row>
    <row r="29" spans="1:9" x14ac:dyDescent="0.2">
      <c r="A29" s="39" t="s">
        <v>49</v>
      </c>
      <c r="B29" s="57">
        <v>795</v>
      </c>
      <c r="C29" s="57">
        <v>775</v>
      </c>
      <c r="D29" s="57">
        <v>688.31600000000003</v>
      </c>
      <c r="E29" s="57">
        <v>668</v>
      </c>
      <c r="F29" s="57">
        <v>600</v>
      </c>
      <c r="G29" s="57">
        <v>622</v>
      </c>
      <c r="H29" s="57">
        <v>614</v>
      </c>
      <c r="I29" s="57">
        <v>450.70962819006905</v>
      </c>
    </row>
    <row r="30" spans="1:9" ht="12.75" thickBot="1" x14ac:dyDescent="0.25">
      <c r="A30" s="41" t="s">
        <v>50</v>
      </c>
      <c r="B30" s="58">
        <v>550</v>
      </c>
      <c r="C30" s="58">
        <v>919</v>
      </c>
      <c r="D30" s="58">
        <v>916.09674100553082</v>
      </c>
      <c r="E30" s="58">
        <v>1091.3266705324982</v>
      </c>
      <c r="F30" s="58">
        <v>1057.4247289019149</v>
      </c>
      <c r="G30" s="58">
        <v>1011</v>
      </c>
      <c r="H30" s="58">
        <v>1134</v>
      </c>
      <c r="I30" s="58">
        <v>1083</v>
      </c>
    </row>
    <row r="31" spans="1:9" ht="12.75" thickTop="1" x14ac:dyDescent="0.2">
      <c r="A31" s="40" t="s">
        <v>53</v>
      </c>
      <c r="B31" s="59">
        <v>672.2321960830526</v>
      </c>
      <c r="C31" s="59">
        <v>673.66549687943689</v>
      </c>
      <c r="D31" s="59">
        <v>633.16070728757325</v>
      </c>
      <c r="E31" s="59">
        <v>771</v>
      </c>
      <c r="F31" s="59">
        <v>940.96</v>
      </c>
      <c r="G31" s="59">
        <v>914</v>
      </c>
      <c r="H31" s="59">
        <v>674</v>
      </c>
      <c r="I31" s="59">
        <v>755.02</v>
      </c>
    </row>
    <row r="32" spans="1:9" x14ac:dyDescent="0.2">
      <c r="A32" s="39" t="s">
        <v>54</v>
      </c>
      <c r="B32" s="57">
        <v>133</v>
      </c>
      <c r="C32" s="57">
        <v>148</v>
      </c>
      <c r="D32" s="57">
        <v>155</v>
      </c>
      <c r="E32" s="57">
        <v>59</v>
      </c>
      <c r="F32" s="57">
        <v>73</v>
      </c>
      <c r="G32" s="57">
        <v>60</v>
      </c>
      <c r="H32" s="57">
        <v>57</v>
      </c>
      <c r="I32" s="57">
        <v>74.729034339999643</v>
      </c>
    </row>
    <row r="33" spans="1:9" x14ac:dyDescent="0.2">
      <c r="A33" s="39" t="s">
        <v>78</v>
      </c>
      <c r="B33" s="57" t="s">
        <v>79</v>
      </c>
      <c r="C33" s="57" t="s">
        <v>79</v>
      </c>
      <c r="D33" s="57" t="s">
        <v>79</v>
      </c>
      <c r="E33" s="57">
        <v>127</v>
      </c>
      <c r="F33" s="57">
        <v>145</v>
      </c>
      <c r="G33" s="57">
        <v>118</v>
      </c>
      <c r="H33" s="57">
        <v>160</v>
      </c>
      <c r="I33" s="57">
        <v>201</v>
      </c>
    </row>
    <row r="34" spans="1:9" x14ac:dyDescent="0.2">
      <c r="A34" s="39" t="s">
        <v>55</v>
      </c>
      <c r="B34" s="57">
        <v>24</v>
      </c>
      <c r="C34" s="57">
        <v>18</v>
      </c>
      <c r="D34" s="57">
        <v>10.375999999999999</v>
      </c>
      <c r="E34" s="57">
        <v>8.2224593500000225</v>
      </c>
      <c r="F34" s="57">
        <v>5.3730000000000002</v>
      </c>
      <c r="G34" s="57">
        <v>3</v>
      </c>
      <c r="H34" s="57">
        <v>1.8</v>
      </c>
      <c r="I34" s="57">
        <v>1.8</v>
      </c>
    </row>
    <row r="35" spans="1:9" ht="12.75" thickBot="1" x14ac:dyDescent="0.25">
      <c r="A35" s="41" t="s">
        <v>56</v>
      </c>
      <c r="B35" s="58">
        <v>463</v>
      </c>
      <c r="C35" s="58">
        <v>618</v>
      </c>
      <c r="D35" s="58">
        <v>490.45161708936422</v>
      </c>
      <c r="E35" s="58">
        <v>483.23377299999999</v>
      </c>
      <c r="F35" s="58">
        <v>333</v>
      </c>
      <c r="G35" s="58">
        <v>470</v>
      </c>
      <c r="H35" s="58">
        <v>499</v>
      </c>
      <c r="I35" s="58">
        <v>486</v>
      </c>
    </row>
    <row r="36" spans="1:9" ht="12.75" thickTop="1" x14ac:dyDescent="0.2">
      <c r="A36" s="40" t="s">
        <v>57</v>
      </c>
      <c r="B36" s="59">
        <v>778</v>
      </c>
      <c r="C36" s="59">
        <v>965</v>
      </c>
      <c r="D36" s="59">
        <v>1231</v>
      </c>
      <c r="E36" s="59">
        <v>1425.6972271650175</v>
      </c>
      <c r="F36" s="59">
        <v>1411</v>
      </c>
      <c r="G36" s="59">
        <v>1415</v>
      </c>
      <c r="H36" s="59">
        <v>1483</v>
      </c>
      <c r="I36" s="59">
        <v>1604</v>
      </c>
    </row>
    <row r="37" spans="1:9" x14ac:dyDescent="0.2">
      <c r="A37" s="26" t="s">
        <v>40</v>
      </c>
      <c r="B37" s="56">
        <v>4471.2321960830523</v>
      </c>
      <c r="C37" s="56">
        <v>5171.6654968794373</v>
      </c>
      <c r="D37" s="56">
        <v>4979.3050653824685</v>
      </c>
      <c r="E37" s="56">
        <v>5562.4801300475156</v>
      </c>
      <c r="F37" s="56">
        <v>5622.7577289019155</v>
      </c>
      <c r="G37" s="56">
        <v>5517</v>
      </c>
      <c r="H37" s="56">
        <v>6023.8</v>
      </c>
      <c r="I37" s="56">
        <v>5676.9108757000686</v>
      </c>
    </row>
    <row r="38" spans="1:9" x14ac:dyDescent="0.2">
      <c r="B38" s="33"/>
      <c r="C38" s="33"/>
      <c r="D38" s="33"/>
      <c r="E38" s="33"/>
    </row>
    <row r="39" spans="1:9" x14ac:dyDescent="0.2">
      <c r="A39" s="7" t="s">
        <v>59</v>
      </c>
      <c r="B39" s="13"/>
      <c r="C39" s="10"/>
      <c r="D39" s="10"/>
      <c r="E39" s="10"/>
    </row>
    <row r="40" spans="1:9" ht="3" customHeight="1" x14ac:dyDescent="0.2">
      <c r="A40" s="7"/>
      <c r="B40" s="13"/>
      <c r="C40" s="10"/>
      <c r="D40" s="10"/>
      <c r="E40" s="10"/>
    </row>
    <row r="41" spans="1:9" x14ac:dyDescent="0.2">
      <c r="A41" s="8"/>
      <c r="B41" s="27">
        <v>2017</v>
      </c>
      <c r="C41" s="27">
        <v>2018</v>
      </c>
      <c r="D41" s="27">
        <v>2019</v>
      </c>
      <c r="E41" s="27">
        <v>2020</v>
      </c>
      <c r="F41" s="27">
        <v>2021</v>
      </c>
      <c r="G41" s="27">
        <v>2022</v>
      </c>
      <c r="H41" s="27">
        <v>2023</v>
      </c>
      <c r="I41" s="27">
        <v>2024</v>
      </c>
    </row>
    <row r="42" spans="1:9" x14ac:dyDescent="0.2">
      <c r="A42" s="39" t="s">
        <v>52</v>
      </c>
      <c r="B42" s="37">
        <f>B27/B37*100</f>
        <v>17.53431639463524</v>
      </c>
      <c r="C42" s="37">
        <f t="shared" ref="C42:F42" si="8">C27/C37*100</f>
        <v>15.024173556252599</v>
      </c>
      <c r="D42" s="37">
        <f t="shared" si="8"/>
        <v>12.288943777599187</v>
      </c>
      <c r="E42" s="37">
        <f t="shared" si="8"/>
        <v>11.829255738741475</v>
      </c>
      <c r="F42" s="37">
        <f t="shared" si="8"/>
        <v>13.516499138731744</v>
      </c>
      <c r="G42" s="37">
        <f>G27/G37*100</f>
        <v>11.147362697117998</v>
      </c>
      <c r="H42" s="37">
        <f>H27/H37*100</f>
        <v>17.580264949035492</v>
      </c>
      <c r="I42" s="37">
        <f t="shared" ref="I42" si="9">I27/I37*100</f>
        <v>12.196624034627204</v>
      </c>
    </row>
    <row r="43" spans="1:9" x14ac:dyDescent="0.2">
      <c r="A43" s="39" t="s">
        <v>51</v>
      </c>
      <c r="B43" s="37">
        <f>B28/B37*100</f>
        <v>6.0833342593632471</v>
      </c>
      <c r="C43" s="37">
        <f t="shared" ref="C43:F43" si="10">C28/C37*100</f>
        <v>5.3754443354417276</v>
      </c>
      <c r="D43" s="37">
        <f t="shared" si="10"/>
        <v>4.8801990801769595</v>
      </c>
      <c r="E43" s="37">
        <f t="shared" si="10"/>
        <v>4.871927515499908</v>
      </c>
      <c r="F43" s="37">
        <f t="shared" si="10"/>
        <v>5.2821055844780629</v>
      </c>
      <c r="G43" s="37">
        <f t="shared" ref="G43:I43" si="11">G28/G37*100</f>
        <v>5.2383541779952871</v>
      </c>
      <c r="H43" s="37">
        <f t="shared" si="11"/>
        <v>5.6774793319831334</v>
      </c>
      <c r="I43" s="37">
        <f t="shared" si="11"/>
        <v>5.7823831317330567</v>
      </c>
    </row>
    <row r="44" spans="1:9" x14ac:dyDescent="0.2">
      <c r="A44" s="39" t="s">
        <v>49</v>
      </c>
      <c r="B44" s="37">
        <f>B29/B37*100</f>
        <v>17.780333588947723</v>
      </c>
      <c r="C44" s="37">
        <f t="shared" ref="C44:F44" si="12">C29/C37*100</f>
        <v>14.985501294846543</v>
      </c>
      <c r="D44" s="37">
        <f t="shared" si="12"/>
        <v>13.823535432391296</v>
      </c>
      <c r="E44" s="37">
        <f t="shared" si="12"/>
        <v>12.009031661822652</v>
      </c>
      <c r="F44" s="37">
        <f t="shared" si="12"/>
        <v>10.670920372682955</v>
      </c>
      <c r="G44" s="37">
        <f t="shared" ref="G44:I44" si="13">G29/G37*100</f>
        <v>11.274243248142106</v>
      </c>
      <c r="H44" s="37">
        <f t="shared" si="13"/>
        <v>10.192901490753345</v>
      </c>
      <c r="I44" s="37">
        <f t="shared" si="13"/>
        <v>7.9393465576379718</v>
      </c>
    </row>
    <row r="45" spans="1:9" ht="12.75" thickBot="1" x14ac:dyDescent="0.25">
      <c r="A45" s="41" t="s">
        <v>50</v>
      </c>
      <c r="B45" s="42">
        <f>B30/B37*100</f>
        <v>12.300859715624213</v>
      </c>
      <c r="C45" s="42">
        <f t="shared" ref="C45:F45" si="14">C30/C37*100</f>
        <v>17.769904116082547</v>
      </c>
      <c r="D45" s="42">
        <f t="shared" si="14"/>
        <v>18.398084250239926</v>
      </c>
      <c r="E45" s="42">
        <f t="shared" si="14"/>
        <v>19.619425957808787</v>
      </c>
      <c r="F45" s="42">
        <f t="shared" si="14"/>
        <v>18.806158470363659</v>
      </c>
      <c r="G45" s="42">
        <f t="shared" ref="G45:I45" si="15">G30/G37*100</f>
        <v>18.325176726481786</v>
      </c>
      <c r="H45" s="42">
        <f t="shared" si="15"/>
        <v>18.825326206049336</v>
      </c>
      <c r="I45" s="42">
        <f t="shared" si="15"/>
        <v>19.077276774517728</v>
      </c>
    </row>
    <row r="46" spans="1:9" ht="12.75" thickTop="1" x14ac:dyDescent="0.2">
      <c r="A46" s="40" t="s">
        <v>53</v>
      </c>
      <c r="B46" s="20">
        <f>B31/B37*100</f>
        <v>15.034607164261123</v>
      </c>
      <c r="C46" s="20">
        <f t="shared" ref="C46:F46" si="16">C31/C37*100</f>
        <v>13.026084097780958</v>
      </c>
      <c r="D46" s="20">
        <f t="shared" si="16"/>
        <v>12.715844861353945</v>
      </c>
      <c r="E46" s="20">
        <f t="shared" si="16"/>
        <v>13.86072366955878</v>
      </c>
      <c r="F46" s="20">
        <f t="shared" si="16"/>
        <v>16.734848723132924</v>
      </c>
      <c r="G46" s="20">
        <f t="shared" ref="G46:I46" si="17">G31/G37*100</f>
        <v>16.566974805147723</v>
      </c>
      <c r="H46" s="20">
        <f t="shared" si="17"/>
        <v>11.18895049636442</v>
      </c>
      <c r="I46" s="20">
        <f t="shared" si="17"/>
        <v>13.299838883006807</v>
      </c>
    </row>
    <row r="47" spans="1:9" x14ac:dyDescent="0.2">
      <c r="A47" s="39" t="s">
        <v>54</v>
      </c>
      <c r="B47" s="37">
        <f>B32/B37*100</f>
        <v>2.9745715312327641</v>
      </c>
      <c r="C47" s="37">
        <f t="shared" ref="C47:F47" si="18">C32/C37*100</f>
        <v>2.8617473440481143</v>
      </c>
      <c r="D47" s="37">
        <f t="shared" si="18"/>
        <v>3.1128841869441515</v>
      </c>
      <c r="E47" s="37">
        <f t="shared" si="18"/>
        <v>1.0606779461789468</v>
      </c>
      <c r="F47" s="37">
        <f t="shared" si="18"/>
        <v>1.2982953120097598</v>
      </c>
      <c r="G47" s="37">
        <f t="shared" ref="G47:I47" si="19">G32/G37*100</f>
        <v>1.0875475802066341</v>
      </c>
      <c r="H47" s="37">
        <f t="shared" si="19"/>
        <v>0.94624655533052227</v>
      </c>
      <c r="I47" s="37">
        <f t="shared" si="19"/>
        <v>1.316367932776189</v>
      </c>
    </row>
    <row r="48" spans="1:9" x14ac:dyDescent="0.2">
      <c r="A48" s="39" t="s">
        <v>78</v>
      </c>
      <c r="B48" s="37" t="s">
        <v>79</v>
      </c>
      <c r="C48" s="37" t="s">
        <v>79</v>
      </c>
      <c r="D48" s="37" t="s">
        <v>79</v>
      </c>
      <c r="E48" s="37">
        <f>E33/E37*100</f>
        <v>2.2831542231309534</v>
      </c>
      <c r="F48" s="37">
        <f>F33/F37*100</f>
        <v>2.5788057567317146</v>
      </c>
      <c r="G48" s="37">
        <f>G33/G37*100</f>
        <v>2.1388435744063803</v>
      </c>
      <c r="H48" s="37">
        <f>H33/H37*100</f>
        <v>2.656130681629536</v>
      </c>
      <c r="I48" s="37">
        <f>I33/I37*100</f>
        <v>3.5406580163232344</v>
      </c>
    </row>
    <row r="49" spans="1:9" x14ac:dyDescent="0.2">
      <c r="A49" s="39" t="s">
        <v>55</v>
      </c>
      <c r="B49" s="37">
        <f>B34/B37*100</f>
        <v>0.53676478759087476</v>
      </c>
      <c r="C49" s="37">
        <f t="shared" ref="C49:F49" si="20">C34/C37*100</f>
        <v>0.34805035265450035</v>
      </c>
      <c r="D49" s="37">
        <f t="shared" si="20"/>
        <v>0.20838249241117751</v>
      </c>
      <c r="E49" s="37">
        <f t="shared" si="20"/>
        <v>0.14782002196437125</v>
      </c>
      <c r="F49" s="37">
        <f t="shared" si="20"/>
        <v>9.5558091937375883E-2</v>
      </c>
      <c r="G49" s="37">
        <f t="shared" ref="G49:I49" si="21">G34/G37*100</f>
        <v>5.4377379010331697E-2</v>
      </c>
      <c r="H49" s="37">
        <f t="shared" si="21"/>
        <v>2.9881470168332282E-2</v>
      </c>
      <c r="I49" s="37">
        <f t="shared" si="21"/>
        <v>3.1707385220805087E-2</v>
      </c>
    </row>
    <row r="50" spans="1:9" ht="12.75" thickBot="1" x14ac:dyDescent="0.25">
      <c r="A50" s="41" t="s">
        <v>56</v>
      </c>
      <c r="B50" s="42">
        <f>B35/B37*100</f>
        <v>10.355087360607291</v>
      </c>
      <c r="C50" s="42">
        <f t="shared" ref="C50:F50" si="22">C35/C37*100</f>
        <v>11.949728774471179</v>
      </c>
      <c r="D50" s="42">
        <f t="shared" si="22"/>
        <v>9.8498005374107738</v>
      </c>
      <c r="E50" s="42">
        <f t="shared" si="22"/>
        <v>8.6873797605075165</v>
      </c>
      <c r="F50" s="42">
        <f t="shared" si="22"/>
        <v>5.9223608068390412</v>
      </c>
      <c r="G50" s="42">
        <f t="shared" ref="G50:I50" si="23">G35/G37*100</f>
        <v>8.5191227116186337</v>
      </c>
      <c r="H50" s="42">
        <f t="shared" si="23"/>
        <v>8.2838075633321164</v>
      </c>
      <c r="I50" s="42">
        <f t="shared" si="23"/>
        <v>8.5609940096173727</v>
      </c>
    </row>
    <row r="51" spans="1:9" ht="12.75" thickTop="1" x14ac:dyDescent="0.2">
      <c r="A51" s="40" t="s">
        <v>57</v>
      </c>
      <c r="B51" s="20">
        <f>B36/B37*100</f>
        <v>17.400125197737523</v>
      </c>
      <c r="C51" s="20">
        <f t="shared" ref="C51:F51" si="24">C36/C37*100</f>
        <v>18.659366128421826</v>
      </c>
      <c r="D51" s="20">
        <f t="shared" si="24"/>
        <v>24.722325381472583</v>
      </c>
      <c r="E51" s="20">
        <f t="shared" si="24"/>
        <v>25.630603504786613</v>
      </c>
      <c r="F51" s="20">
        <f t="shared" si="24"/>
        <v>25.094447743092751</v>
      </c>
      <c r="G51" s="20">
        <f t="shared" ref="G51:I51" si="25">G36/G37*100</f>
        <v>25.64799709987312</v>
      </c>
      <c r="H51" s="20">
        <f t="shared" si="25"/>
        <v>24.619011255353762</v>
      </c>
      <c r="I51" s="20">
        <f t="shared" si="25"/>
        <v>28.25480327453964</v>
      </c>
    </row>
    <row r="52" spans="1:9" x14ac:dyDescent="0.2">
      <c r="A52" s="26" t="s">
        <v>40</v>
      </c>
      <c r="B52" s="12">
        <v>100</v>
      </c>
      <c r="C52" s="12">
        <v>99.999999999999986</v>
      </c>
      <c r="D52" s="12">
        <v>99.999999999999986</v>
      </c>
      <c r="E52" s="12">
        <v>99.999999999999972</v>
      </c>
      <c r="F52" s="12">
        <v>99.999999999999972</v>
      </c>
      <c r="G52" s="12">
        <v>99.999999999999972</v>
      </c>
      <c r="H52" s="12">
        <v>99.999999999999972</v>
      </c>
      <c r="I52" s="12">
        <v>99.999999999999972</v>
      </c>
    </row>
    <row r="53" spans="1:9" x14ac:dyDescent="0.2">
      <c r="A53" s="50" t="s">
        <v>85</v>
      </c>
    </row>
    <row r="54" spans="1:9" x14ac:dyDescent="0.2">
      <c r="A54" s="35"/>
    </row>
  </sheetData>
  <hyperlinks>
    <hyperlink ref="A2" location="Sommaire!A5" display="Retour au menu &quot;Marché du jeu vidéo&quot;" xr:uid="{AA71CB1D-BE12-4FB4-A17A-56859B2253B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3"/>
  <sheetViews>
    <sheetView workbookViewId="0"/>
  </sheetViews>
  <sheetFormatPr baseColWidth="10" defaultColWidth="11.42578125" defaultRowHeight="12" x14ac:dyDescent="0.2"/>
  <cols>
    <col min="1" max="1" width="19.42578125" style="6" customWidth="1"/>
    <col min="2" max="5" width="6.28515625" style="6" bestFit="1" customWidth="1"/>
    <col min="6" max="9" width="6.28515625" style="5" bestFit="1" customWidth="1"/>
    <col min="10" max="16384" width="11.42578125" style="5"/>
  </cols>
  <sheetData>
    <row r="1" spans="1:9" x14ac:dyDescent="0.2">
      <c r="B1" s="5"/>
      <c r="C1" s="5"/>
      <c r="D1" s="5"/>
      <c r="E1" s="5"/>
    </row>
    <row r="2" spans="1:9" ht="12.75" x14ac:dyDescent="0.2">
      <c r="A2" s="31" t="s">
        <v>18</v>
      </c>
      <c r="B2" s="5"/>
      <c r="C2" s="5"/>
      <c r="D2" s="5"/>
      <c r="E2" s="5"/>
    </row>
    <row r="3" spans="1:9" x14ac:dyDescent="0.2">
      <c r="B3" s="5"/>
      <c r="C3" s="5"/>
      <c r="D3" s="5"/>
      <c r="E3" s="5"/>
    </row>
    <row r="4" spans="1:9" ht="15" x14ac:dyDescent="0.25">
      <c r="A4" s="25" t="s">
        <v>76</v>
      </c>
      <c r="B4" s="5"/>
      <c r="C4" s="5"/>
      <c r="D4" s="5"/>
      <c r="E4" s="5"/>
    </row>
    <row r="5" spans="1:9" ht="15" x14ac:dyDescent="0.25">
      <c r="A5" s="25"/>
      <c r="B5" s="5"/>
      <c r="C5" s="5"/>
      <c r="D5" s="5"/>
      <c r="E5" s="5"/>
    </row>
    <row r="6" spans="1:9" x14ac:dyDescent="0.2">
      <c r="A6" s="7" t="s">
        <v>2</v>
      </c>
      <c r="B6" s="13"/>
      <c r="C6" s="13"/>
      <c r="D6" s="10"/>
      <c r="E6" s="10"/>
    </row>
    <row r="7" spans="1:9" ht="3" customHeight="1" x14ac:dyDescent="0.2">
      <c r="A7" s="7"/>
      <c r="B7" s="13"/>
      <c r="C7" s="13"/>
      <c r="D7" s="10"/>
      <c r="E7" s="10"/>
    </row>
    <row r="8" spans="1:9" x14ac:dyDescent="0.2">
      <c r="A8" s="8"/>
      <c r="B8" s="27">
        <v>2017</v>
      </c>
      <c r="C8" s="27">
        <v>2018</v>
      </c>
      <c r="D8" s="27">
        <v>2019</v>
      </c>
      <c r="E8" s="27">
        <v>2020</v>
      </c>
      <c r="F8" s="27">
        <v>2021</v>
      </c>
      <c r="G8" s="27">
        <v>2022</v>
      </c>
      <c r="H8" s="27">
        <v>2023</v>
      </c>
      <c r="I8" s="27">
        <v>2024</v>
      </c>
    </row>
    <row r="9" spans="1:9" x14ac:dyDescent="0.2">
      <c r="A9" s="9" t="s">
        <v>19</v>
      </c>
      <c r="B9" s="55">
        <v>1345</v>
      </c>
      <c r="C9" s="55">
        <v>1694</v>
      </c>
      <c r="D9" s="55">
        <v>1604.4127410055307</v>
      </c>
      <c r="E9" s="55">
        <v>1759.3266705324982</v>
      </c>
      <c r="F9" s="55">
        <v>1657.4247289019149</v>
      </c>
      <c r="G9" s="55">
        <v>1633</v>
      </c>
      <c r="H9" s="55">
        <v>1748</v>
      </c>
      <c r="I9" s="55">
        <v>1533.709628190069</v>
      </c>
    </row>
    <row r="10" spans="1:9" x14ac:dyDescent="0.2">
      <c r="A10" s="9" t="s">
        <v>1</v>
      </c>
      <c r="B10" s="55">
        <v>487</v>
      </c>
      <c r="C10" s="55">
        <v>636</v>
      </c>
      <c r="D10" s="55">
        <v>500.8276170893642</v>
      </c>
      <c r="E10" s="55">
        <v>491.45623234999999</v>
      </c>
      <c r="F10" s="55">
        <v>338.37299999999999</v>
      </c>
      <c r="G10" s="55">
        <v>473</v>
      </c>
      <c r="H10" s="55">
        <v>500.8</v>
      </c>
      <c r="I10" s="55">
        <v>487.8</v>
      </c>
    </row>
    <row r="11" spans="1:9" x14ac:dyDescent="0.2">
      <c r="A11" s="9" t="s">
        <v>20</v>
      </c>
      <c r="B11" s="55">
        <v>778</v>
      </c>
      <c r="C11" s="55">
        <v>965</v>
      </c>
      <c r="D11" s="55">
        <v>1231</v>
      </c>
      <c r="E11" s="55">
        <v>1425.6972271650175</v>
      </c>
      <c r="F11" s="55">
        <v>1411</v>
      </c>
      <c r="G11" s="55">
        <v>1415</v>
      </c>
      <c r="H11" s="55">
        <v>1483</v>
      </c>
      <c r="I11" s="55">
        <v>1604</v>
      </c>
    </row>
    <row r="12" spans="1:9" x14ac:dyDescent="0.2">
      <c r="A12" s="26" t="s">
        <v>3</v>
      </c>
      <c r="B12" s="56">
        <v>2610</v>
      </c>
      <c r="C12" s="56">
        <v>3295</v>
      </c>
      <c r="D12" s="56">
        <v>3336.2403580948949</v>
      </c>
      <c r="E12" s="56">
        <v>3676.4801300475156</v>
      </c>
      <c r="F12" s="56">
        <v>3406.797728901915</v>
      </c>
      <c r="G12" s="56">
        <v>3521</v>
      </c>
      <c r="H12" s="56">
        <v>3731.8</v>
      </c>
      <c r="I12" s="56">
        <v>3625.5096281900692</v>
      </c>
    </row>
    <row r="13" spans="1:9" x14ac:dyDescent="0.2">
      <c r="B13" s="33"/>
      <c r="C13" s="33"/>
      <c r="D13" s="33"/>
      <c r="E13" s="33"/>
    </row>
    <row r="14" spans="1:9" x14ac:dyDescent="0.2">
      <c r="A14" s="7" t="s">
        <v>13</v>
      </c>
      <c r="B14" s="13"/>
      <c r="C14" s="10"/>
      <c r="D14" s="10"/>
      <c r="E14" s="10"/>
    </row>
    <row r="15" spans="1:9" ht="3" customHeight="1" x14ac:dyDescent="0.2">
      <c r="A15" s="7"/>
      <c r="B15" s="13"/>
      <c r="C15" s="10"/>
      <c r="D15" s="10"/>
      <c r="E15" s="10"/>
    </row>
    <row r="16" spans="1:9" x14ac:dyDescent="0.2">
      <c r="A16" s="8"/>
      <c r="B16" s="27">
        <v>2017</v>
      </c>
      <c r="C16" s="27">
        <v>2018</v>
      </c>
      <c r="D16" s="27">
        <v>2019</v>
      </c>
      <c r="E16" s="27">
        <v>2020</v>
      </c>
      <c r="F16" s="27">
        <v>2021</v>
      </c>
      <c r="G16" s="27">
        <v>2022</v>
      </c>
      <c r="H16" s="27">
        <v>2023</v>
      </c>
      <c r="I16" s="27">
        <v>2024</v>
      </c>
    </row>
    <row r="17" spans="1:9" x14ac:dyDescent="0.2">
      <c r="A17" s="9" t="s">
        <v>19</v>
      </c>
      <c r="B17" s="11">
        <f>B9/B12*100</f>
        <v>51.532567049808428</v>
      </c>
      <c r="C17" s="11">
        <f t="shared" ref="C17:E17" si="0">C9/C12*100</f>
        <v>51.411229135053119</v>
      </c>
      <c r="D17" s="11">
        <f t="shared" si="0"/>
        <v>48.090442198286468</v>
      </c>
      <c r="E17" s="11">
        <f t="shared" si="0"/>
        <v>47.853561240646783</v>
      </c>
      <c r="F17" s="11">
        <f t="shared" ref="F17:G17" si="1">F9/F12*100</f>
        <v>48.650517606049334</v>
      </c>
      <c r="G17" s="11">
        <f t="shared" si="1"/>
        <v>46.378869639307013</v>
      </c>
      <c r="H17" s="11">
        <f>H9/H12*100</f>
        <v>46.840666702395623</v>
      </c>
      <c r="I17" s="11">
        <f t="shared" ref="I17" si="2">I9/I12*100</f>
        <v>42.303283827044453</v>
      </c>
    </row>
    <row r="18" spans="1:9" x14ac:dyDescent="0.2">
      <c r="A18" s="9" t="s">
        <v>1</v>
      </c>
      <c r="B18" s="11">
        <f>B10/B12*100</f>
        <v>18.659003831417625</v>
      </c>
      <c r="C18" s="11">
        <f t="shared" ref="C18:E18" si="3">C10/C12*100</f>
        <v>19.301972685887709</v>
      </c>
      <c r="D18" s="11">
        <f t="shared" si="3"/>
        <v>15.011736665620626</v>
      </c>
      <c r="E18" s="11">
        <f t="shared" si="3"/>
        <v>13.367574826078233</v>
      </c>
      <c r="F18" s="11">
        <f t="shared" ref="F18" si="4">F10/F12*100</f>
        <v>9.9322891150648083</v>
      </c>
      <c r="G18" s="11">
        <f>G10/G12*100</f>
        <v>13.433683612610054</v>
      </c>
      <c r="H18" s="11">
        <f t="shared" ref="H18:I18" si="5">H10/H12*100</f>
        <v>13.419797416796184</v>
      </c>
      <c r="I18" s="11">
        <f t="shared" si="5"/>
        <v>13.454660172658816</v>
      </c>
    </row>
    <row r="19" spans="1:9" x14ac:dyDescent="0.2">
      <c r="A19" s="9" t="s">
        <v>20</v>
      </c>
      <c r="B19" s="11">
        <f>B11/B12*100</f>
        <v>29.808429118773944</v>
      </c>
      <c r="C19" s="11">
        <f t="shared" ref="C19:E19" si="6">C11/C12*100</f>
        <v>29.286798179059183</v>
      </c>
      <c r="D19" s="11">
        <f t="shared" si="6"/>
        <v>36.897821136092915</v>
      </c>
      <c r="E19" s="11">
        <f t="shared" si="6"/>
        <v>38.778863933274991</v>
      </c>
      <c r="F19" s="11">
        <f t="shared" ref="F19:G19" si="7">F11/F12*100</f>
        <v>41.417193278885861</v>
      </c>
      <c r="G19" s="11">
        <f t="shared" si="7"/>
        <v>40.187446748082934</v>
      </c>
      <c r="H19" s="11">
        <f t="shared" ref="H19" si="8">H11/H12*100</f>
        <v>39.739535880808184</v>
      </c>
      <c r="I19" s="11">
        <f>I11/I12*100</f>
        <v>44.242056000296728</v>
      </c>
    </row>
    <row r="20" spans="1:9" x14ac:dyDescent="0.2">
      <c r="A20" s="26" t="s">
        <v>3</v>
      </c>
      <c r="B20" s="12">
        <v>100</v>
      </c>
      <c r="C20" s="12">
        <v>99.99974882692554</v>
      </c>
      <c r="D20" s="12">
        <v>99.999743137255294</v>
      </c>
      <c r="E20" s="12">
        <v>99.999714826849555</v>
      </c>
      <c r="F20" s="12">
        <v>100</v>
      </c>
      <c r="G20" s="12">
        <v>100</v>
      </c>
      <c r="H20" s="12">
        <v>100</v>
      </c>
      <c r="I20" s="12">
        <v>100</v>
      </c>
    </row>
    <row r="21" spans="1:9" x14ac:dyDescent="0.2">
      <c r="A21" s="50" t="s">
        <v>85</v>
      </c>
      <c r="B21" s="18"/>
      <c r="C21" s="18"/>
      <c r="D21" s="10"/>
      <c r="E21" s="10"/>
    </row>
    <row r="22" spans="1:9" x14ac:dyDescent="0.2">
      <c r="A22" s="35"/>
      <c r="B22" s="18"/>
      <c r="C22" s="18"/>
      <c r="D22" s="10"/>
      <c r="E22" s="10"/>
    </row>
    <row r="23" spans="1:9" x14ac:dyDescent="0.2">
      <c r="A23" s="7"/>
    </row>
  </sheetData>
  <phoneticPr fontId="9" type="noConversion"/>
  <hyperlinks>
    <hyperlink ref="A2" location="Sommaire!A5" display="Retour au menu &quot;Marché du jeu vidéo&quot;" xr:uid="{00000000-0004-0000-0300-00000000000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7A9E-7869-4578-90E7-EE334E911A9B}">
  <dimension ref="A1:I83"/>
  <sheetViews>
    <sheetView zoomScaleNormal="100" workbookViewId="0"/>
  </sheetViews>
  <sheetFormatPr baseColWidth="10" defaultColWidth="11.42578125" defaultRowHeight="12" x14ac:dyDescent="0.2"/>
  <cols>
    <col min="1" max="1" width="20.42578125" style="5" customWidth="1"/>
    <col min="2" max="9" width="7.140625" style="5" bestFit="1" customWidth="1"/>
    <col min="10" max="16384" width="11.42578125" style="5"/>
  </cols>
  <sheetData>
    <row r="1" spans="1:9" x14ac:dyDescent="0.2">
      <c r="A1" s="6"/>
    </row>
    <row r="2" spans="1:9" ht="12.75" x14ac:dyDescent="0.2">
      <c r="A2" s="31" t="s">
        <v>18</v>
      </c>
    </row>
    <row r="3" spans="1:9" x14ac:dyDescent="0.2">
      <c r="A3" s="6"/>
    </row>
    <row r="4" spans="1:9" ht="15" x14ac:dyDescent="0.25">
      <c r="A4" s="25" t="s">
        <v>30</v>
      </c>
    </row>
    <row r="5" spans="1:9" ht="12.75" customHeight="1" x14ac:dyDescent="0.25">
      <c r="A5" s="25"/>
      <c r="B5" s="6"/>
      <c r="C5" s="6"/>
      <c r="D5" s="6"/>
      <c r="E5" s="6"/>
    </row>
    <row r="6" spans="1:9" x14ac:dyDescent="0.2">
      <c r="A6" s="4" t="s">
        <v>63</v>
      </c>
    </row>
    <row r="7" spans="1:9" ht="3" customHeight="1" x14ac:dyDescent="0.2">
      <c r="A7" s="4"/>
    </row>
    <row r="8" spans="1:9" x14ac:dyDescent="0.2">
      <c r="A8" s="3"/>
      <c r="B8" s="27">
        <v>2017</v>
      </c>
      <c r="C8" s="27">
        <v>2018</v>
      </c>
      <c r="D8" s="27">
        <v>2019</v>
      </c>
      <c r="E8" s="27">
        <v>2020</v>
      </c>
      <c r="F8" s="27">
        <v>2021</v>
      </c>
      <c r="G8" s="27">
        <v>2022</v>
      </c>
      <c r="H8" s="27">
        <v>2023</v>
      </c>
      <c r="I8" s="27">
        <v>2024</v>
      </c>
    </row>
    <row r="9" spans="1:9" x14ac:dyDescent="0.2">
      <c r="A9" s="36" t="s">
        <v>22</v>
      </c>
      <c r="B9" s="43">
        <v>5249050.1100000059</v>
      </c>
      <c r="C9" s="43">
        <v>6275082.500000027</v>
      </c>
      <c r="D9" s="43">
        <v>5084764.9999999972</v>
      </c>
      <c r="E9" s="43">
        <v>6465126.5000000205</v>
      </c>
      <c r="F9" s="43">
        <v>5495763.879999998</v>
      </c>
      <c r="G9" s="43">
        <v>5197632.3000000119</v>
      </c>
      <c r="H9" s="43">
        <v>5350350.9799999949</v>
      </c>
      <c r="I9" s="43">
        <v>5295962.0999999652</v>
      </c>
    </row>
    <row r="10" spans="1:9" x14ac:dyDescent="0.2">
      <c r="A10" s="36" t="s">
        <v>24</v>
      </c>
      <c r="B10" s="43">
        <v>2224095.0099999979</v>
      </c>
      <c r="C10" s="43">
        <v>2060020.3899999994</v>
      </c>
      <c r="D10" s="43">
        <v>2615064.6300000022</v>
      </c>
      <c r="E10" s="43">
        <v>2789960.4900000105</v>
      </c>
      <c r="F10" s="43">
        <v>2262907.9000000041</v>
      </c>
      <c r="G10" s="43">
        <v>1848030.1400000006</v>
      </c>
      <c r="H10" s="43">
        <v>4883710.4800000163</v>
      </c>
      <c r="I10" s="43">
        <v>2884237.1600000034</v>
      </c>
    </row>
    <row r="11" spans="1:9" x14ac:dyDescent="0.2">
      <c r="A11" s="36" t="s">
        <v>6</v>
      </c>
      <c r="B11" s="43">
        <v>2788723.9600000046</v>
      </c>
      <c r="C11" s="43">
        <v>2941826.1800000281</v>
      </c>
      <c r="D11" s="43">
        <v>2834431.4500000086</v>
      </c>
      <c r="E11" s="43">
        <v>3406322.5800000108</v>
      </c>
      <c r="F11" s="43">
        <v>3268922.9700000184</v>
      </c>
      <c r="G11" s="43">
        <v>3668214.810000021</v>
      </c>
      <c r="H11" s="43">
        <v>2978759.3900000141</v>
      </c>
      <c r="I11" s="43">
        <v>2881550.2100000125</v>
      </c>
    </row>
    <row r="12" spans="1:9" x14ac:dyDescent="0.2">
      <c r="A12" s="36" t="s">
        <v>86</v>
      </c>
      <c r="B12" s="43">
        <v>4539577.1100000003</v>
      </c>
      <c r="C12" s="43">
        <v>3351596.5200000056</v>
      </c>
      <c r="D12" s="43">
        <v>3144100.4300000118</v>
      </c>
      <c r="E12" s="43">
        <v>2666668.6599999974</v>
      </c>
      <c r="F12" s="43">
        <v>2387365.8700000015</v>
      </c>
      <c r="G12" s="43">
        <v>2272539.2700000056</v>
      </c>
      <c r="H12" s="43">
        <v>1898538.0900000005</v>
      </c>
      <c r="I12" s="43">
        <v>2103344.2100000093</v>
      </c>
    </row>
    <row r="13" spans="1:9" x14ac:dyDescent="0.2">
      <c r="A13" s="36" t="s">
        <v>23</v>
      </c>
      <c r="B13" s="43">
        <v>2714332.169999999</v>
      </c>
      <c r="C13" s="43">
        <v>2195081.5700000026</v>
      </c>
      <c r="D13" s="43">
        <v>2470529.7600000016</v>
      </c>
      <c r="E13" s="43">
        <v>2513713.0099999993</v>
      </c>
      <c r="F13" s="43">
        <v>2498135.7400000072</v>
      </c>
      <c r="G13" s="43">
        <v>3381573.870000002</v>
      </c>
      <c r="H13" s="43">
        <v>1835794.7600000019</v>
      </c>
      <c r="I13" s="43">
        <v>1807680.8500000052</v>
      </c>
    </row>
    <row r="14" spans="1:9" x14ac:dyDescent="0.2">
      <c r="A14" s="36" t="s">
        <v>5</v>
      </c>
      <c r="B14" s="43">
        <v>1998898.2799999996</v>
      </c>
      <c r="C14" s="43">
        <v>1708523.8200000005</v>
      </c>
      <c r="D14" s="43">
        <v>2055817.080000001</v>
      </c>
      <c r="E14" s="43">
        <v>2054323.3800000015</v>
      </c>
      <c r="F14" s="43">
        <v>1936814.2400000035</v>
      </c>
      <c r="G14" s="43">
        <v>2067306.1200000099</v>
      </c>
      <c r="H14" s="43">
        <v>1931314.5900000071</v>
      </c>
      <c r="I14" s="43">
        <v>1616499.970000007</v>
      </c>
    </row>
    <row r="15" spans="1:9" x14ac:dyDescent="0.2">
      <c r="A15" s="36" t="s">
        <v>25</v>
      </c>
      <c r="B15" s="43">
        <v>761369.48000000021</v>
      </c>
      <c r="C15" s="43">
        <v>1056157.2300000025</v>
      </c>
      <c r="D15" s="43">
        <v>937022.94000000053</v>
      </c>
      <c r="E15" s="43">
        <v>1238322.5000000012</v>
      </c>
      <c r="F15" s="43">
        <v>1241495.110000005</v>
      </c>
      <c r="G15" s="43">
        <v>829631.19999999949</v>
      </c>
      <c r="H15" s="43">
        <v>739158.62999999919</v>
      </c>
      <c r="I15" s="43">
        <v>818592.3</v>
      </c>
    </row>
    <row r="16" spans="1:9" x14ac:dyDescent="0.2">
      <c r="A16" s="36" t="s">
        <v>4</v>
      </c>
      <c r="B16" s="43">
        <v>995595.64000000036</v>
      </c>
      <c r="C16" s="43">
        <v>1385766.4400000006</v>
      </c>
      <c r="D16" s="43">
        <v>1159709.6700000006</v>
      </c>
      <c r="E16" s="43">
        <v>1134279.320000001</v>
      </c>
      <c r="F16" s="43">
        <v>1010337.1100000015</v>
      </c>
      <c r="G16" s="43">
        <v>752127.25999999966</v>
      </c>
      <c r="H16" s="43">
        <v>799993.32999999833</v>
      </c>
      <c r="I16" s="43">
        <v>776032.39000000211</v>
      </c>
    </row>
    <row r="17" spans="1:9" x14ac:dyDescent="0.2">
      <c r="A17" s="36" t="s">
        <v>82</v>
      </c>
      <c r="B17" s="43">
        <v>901894.14000000129</v>
      </c>
      <c r="C17" s="43">
        <v>776372.86999999895</v>
      </c>
      <c r="D17" s="43">
        <v>746933.27999999991</v>
      </c>
      <c r="E17" s="43">
        <v>1966802.1700000141</v>
      </c>
      <c r="F17" s="43">
        <v>1352558.4800000056</v>
      </c>
      <c r="G17" s="43">
        <v>1072590.4000000129</v>
      </c>
      <c r="H17" s="43">
        <v>1005519.9600000011</v>
      </c>
      <c r="I17" s="43">
        <v>769324.71000000264</v>
      </c>
    </row>
    <row r="18" spans="1:9" x14ac:dyDescent="0.2">
      <c r="A18" s="36" t="s">
        <v>26</v>
      </c>
      <c r="B18" s="43">
        <v>212353.46000000005</v>
      </c>
      <c r="C18" s="43">
        <v>231488.57999999891</v>
      </c>
      <c r="D18" s="43">
        <v>295789.00999999954</v>
      </c>
      <c r="E18" s="43">
        <v>384521.06999999972</v>
      </c>
      <c r="F18" s="43">
        <v>329347.32000000018</v>
      </c>
      <c r="G18" s="43">
        <v>269135.28999999963</v>
      </c>
      <c r="H18" s="43">
        <v>168994.21999999977</v>
      </c>
      <c r="I18" s="43">
        <v>98774.879999999917</v>
      </c>
    </row>
    <row r="19" spans="1:9" x14ac:dyDescent="0.2">
      <c r="A19" s="36" t="s">
        <v>28</v>
      </c>
      <c r="B19" s="43">
        <v>92731.469999999987</v>
      </c>
      <c r="C19" s="43">
        <v>171993.12000000014</v>
      </c>
      <c r="D19" s="43">
        <v>125979.78000000013</v>
      </c>
      <c r="E19" s="43">
        <v>96585.569999999992</v>
      </c>
      <c r="F19" s="43">
        <v>91788.370000000126</v>
      </c>
      <c r="G19" s="43">
        <v>92848.970000000074</v>
      </c>
      <c r="H19" s="43">
        <v>86586.819999999978</v>
      </c>
      <c r="I19" s="43">
        <v>69604.830000000016</v>
      </c>
    </row>
    <row r="20" spans="1:9" x14ac:dyDescent="0.2">
      <c r="A20" s="36" t="s">
        <v>27</v>
      </c>
      <c r="B20" s="43">
        <v>11020.39</v>
      </c>
      <c r="C20" s="43">
        <v>40367</v>
      </c>
      <c r="D20" s="43">
        <v>74468.150000000023</v>
      </c>
      <c r="E20" s="43">
        <v>104616.73999999999</v>
      </c>
      <c r="F20" s="43">
        <v>49633.060000000019</v>
      </c>
      <c r="G20" s="43">
        <v>51296.13</v>
      </c>
      <c r="H20" s="43">
        <v>35641.039999999994</v>
      </c>
      <c r="I20" s="43">
        <v>35259.669999999984</v>
      </c>
    </row>
    <row r="21" spans="1:9" x14ac:dyDescent="0.2">
      <c r="A21" s="36" t="s">
        <v>83</v>
      </c>
      <c r="B21" s="43">
        <v>34549.519999999982</v>
      </c>
      <c r="C21" s="43">
        <v>18143.150000000009</v>
      </c>
      <c r="D21" s="43">
        <v>3315.2299999999959</v>
      </c>
      <c r="E21" s="43">
        <v>1291.3599999999997</v>
      </c>
      <c r="F21" s="43">
        <v>552.44000000000017</v>
      </c>
      <c r="G21" s="43">
        <v>8017.4400000000069</v>
      </c>
      <c r="H21" s="43">
        <v>21103.12000000001</v>
      </c>
      <c r="I21" s="43">
        <v>21048.450000000019</v>
      </c>
    </row>
    <row r="22" spans="1:9" x14ac:dyDescent="0.2">
      <c r="A22" s="36" t="s">
        <v>21</v>
      </c>
      <c r="B22" s="43">
        <v>135580.46000000022</v>
      </c>
      <c r="C22" s="43">
        <v>79110.180000000168</v>
      </c>
      <c r="D22" s="43">
        <v>59493.50000000008</v>
      </c>
      <c r="E22" s="43">
        <v>35640.149999999987</v>
      </c>
      <c r="F22" s="43">
        <v>20963.830000000016</v>
      </c>
      <c r="G22" s="43">
        <v>9933.9499999999971</v>
      </c>
      <c r="H22" s="43">
        <v>17578.639999999996</v>
      </c>
      <c r="I22" s="43">
        <v>12720.029999999995</v>
      </c>
    </row>
    <row r="23" spans="1:9" x14ac:dyDescent="0.2">
      <c r="A23" s="36" t="s">
        <v>29</v>
      </c>
      <c r="B23" s="43">
        <v>13062.479999999998</v>
      </c>
      <c r="C23" s="43">
        <v>12151.379999999992</v>
      </c>
      <c r="D23" s="43">
        <v>10182.840000000004</v>
      </c>
      <c r="E23" s="43">
        <v>13376.519999999999</v>
      </c>
      <c r="F23" s="43">
        <v>6327.8100000000013</v>
      </c>
      <c r="G23" s="43">
        <v>6464.5400000000009</v>
      </c>
      <c r="H23" s="43">
        <v>6577.1099999999988</v>
      </c>
      <c r="I23" s="43">
        <v>5848.2300000000014</v>
      </c>
    </row>
    <row r="24" spans="1:9" s="4" customFormat="1" x14ac:dyDescent="0.2">
      <c r="A24" s="26" t="s">
        <v>3</v>
      </c>
      <c r="B24" s="44">
        <v>22672833.680000011</v>
      </c>
      <c r="C24" s="44">
        <v>22303680.930000063</v>
      </c>
      <c r="D24" s="44">
        <v>21617602.750000026</v>
      </c>
      <c r="E24" s="44">
        <v>24871550.020000048</v>
      </c>
      <c r="F24" s="44">
        <v>21952914.130000047</v>
      </c>
      <c r="G24" s="44">
        <v>21517407.740000062</v>
      </c>
      <c r="H24" s="44">
        <v>21742042.520000033</v>
      </c>
      <c r="I24" s="44">
        <v>19183759.960000005</v>
      </c>
    </row>
    <row r="25" spans="1:9" x14ac:dyDescent="0.2">
      <c r="B25" s="34"/>
      <c r="C25" s="34"/>
      <c r="D25" s="34"/>
      <c r="E25" s="34"/>
      <c r="F25" s="34"/>
      <c r="G25" s="34"/>
      <c r="H25" s="34"/>
      <c r="I25" s="34"/>
    </row>
    <row r="26" spans="1:9" x14ac:dyDescent="0.2">
      <c r="A26" s="4" t="s">
        <v>31</v>
      </c>
    </row>
    <row r="27" spans="1:9" ht="3" customHeight="1" x14ac:dyDescent="0.2">
      <c r="A27" s="4"/>
    </row>
    <row r="28" spans="1:9" x14ac:dyDescent="0.2">
      <c r="A28" s="1" t="s">
        <v>80</v>
      </c>
      <c r="B28" s="27">
        <v>2017</v>
      </c>
      <c r="C28" s="27">
        <v>2018</v>
      </c>
      <c r="D28" s="27">
        <v>2019</v>
      </c>
      <c r="E28" s="27">
        <v>2020</v>
      </c>
      <c r="F28" s="27">
        <v>2021</v>
      </c>
      <c r="G28" s="27">
        <v>2022</v>
      </c>
      <c r="H28" s="27">
        <v>2023</v>
      </c>
      <c r="I28" s="27">
        <v>2024</v>
      </c>
    </row>
    <row r="29" spans="1:9" x14ac:dyDescent="0.2">
      <c r="A29" s="36" t="s">
        <v>22</v>
      </c>
      <c r="B29" s="36">
        <v>192.4</v>
      </c>
      <c r="C29" s="36">
        <v>269.3</v>
      </c>
      <c r="D29" s="36">
        <v>184.4</v>
      </c>
      <c r="E29" s="36">
        <v>236.2</v>
      </c>
      <c r="F29" s="36">
        <v>190.2</v>
      </c>
      <c r="G29" s="47">
        <v>180.54432973999994</v>
      </c>
      <c r="H29" s="47">
        <v>191.42084790000007</v>
      </c>
      <c r="I29" s="47">
        <v>184.63920379999996</v>
      </c>
    </row>
    <row r="30" spans="1:9" x14ac:dyDescent="0.2">
      <c r="A30" s="36" t="s">
        <v>6</v>
      </c>
      <c r="B30" s="36">
        <v>142.69999999999999</v>
      </c>
      <c r="C30" s="36">
        <v>145.5</v>
      </c>
      <c r="D30" s="36">
        <v>141</v>
      </c>
      <c r="E30" s="36">
        <v>154.9</v>
      </c>
      <c r="F30" s="36">
        <v>162.6</v>
      </c>
      <c r="G30" s="47">
        <v>182.79854278999994</v>
      </c>
      <c r="H30" s="47">
        <v>156.47824699999984</v>
      </c>
      <c r="I30" s="47">
        <v>153.52359764999997</v>
      </c>
    </row>
    <row r="31" spans="1:9" x14ac:dyDescent="0.2">
      <c r="A31" s="36" t="s">
        <v>86</v>
      </c>
      <c r="B31" s="36">
        <v>214.4</v>
      </c>
      <c r="C31" s="36">
        <v>148.4</v>
      </c>
      <c r="D31" s="36">
        <v>140.80000000000001</v>
      </c>
      <c r="E31" s="36">
        <v>104.8</v>
      </c>
      <c r="F31" s="36">
        <v>107.7</v>
      </c>
      <c r="G31" s="47">
        <v>106.18239916000006</v>
      </c>
      <c r="H31" s="47">
        <v>84.429083349999971</v>
      </c>
      <c r="I31" s="47">
        <v>101.79710667000015</v>
      </c>
    </row>
    <row r="32" spans="1:9" x14ac:dyDescent="0.2">
      <c r="A32" s="36" t="s">
        <v>24</v>
      </c>
      <c r="B32" s="36">
        <v>85.5</v>
      </c>
      <c r="C32" s="36">
        <v>71.599999999999994</v>
      </c>
      <c r="D32" s="36">
        <v>102.6</v>
      </c>
      <c r="E32" s="36">
        <v>103.2</v>
      </c>
      <c r="F32" s="36">
        <v>77.099999999999994</v>
      </c>
      <c r="G32" s="47">
        <v>61.042320259999904</v>
      </c>
      <c r="H32" s="47">
        <v>232.3650587900004</v>
      </c>
      <c r="I32" s="47">
        <v>101.64937912000005</v>
      </c>
    </row>
    <row r="33" spans="1:9" x14ac:dyDescent="0.2">
      <c r="A33" s="36" t="s">
        <v>81</v>
      </c>
      <c r="B33" s="36">
        <v>110.5</v>
      </c>
      <c r="C33" s="36">
        <v>92.4</v>
      </c>
      <c r="D33" s="36">
        <v>99.2</v>
      </c>
      <c r="E33" s="36">
        <v>105.4</v>
      </c>
      <c r="F33" s="36">
        <v>102.4</v>
      </c>
      <c r="G33" s="47">
        <v>159.14579760999996</v>
      </c>
      <c r="H33" s="47">
        <v>80.571392160000045</v>
      </c>
      <c r="I33" s="47">
        <v>76.597072790000041</v>
      </c>
    </row>
    <row r="34" spans="1:9" x14ac:dyDescent="0.2">
      <c r="A34" s="36" t="s">
        <v>5</v>
      </c>
      <c r="B34" s="36">
        <v>90.5</v>
      </c>
      <c r="C34" s="36">
        <v>74.099999999999994</v>
      </c>
      <c r="D34" s="36">
        <v>79.5</v>
      </c>
      <c r="E34" s="36">
        <v>72.7</v>
      </c>
      <c r="F34" s="36">
        <v>71.400000000000006</v>
      </c>
      <c r="G34" s="47">
        <v>84.457457220000052</v>
      </c>
      <c r="H34" s="47">
        <v>72.146316540000129</v>
      </c>
      <c r="I34" s="47">
        <v>51.941093639999963</v>
      </c>
    </row>
    <row r="35" spans="1:9" x14ac:dyDescent="0.2">
      <c r="A35" s="36" t="s">
        <v>25</v>
      </c>
      <c r="B35" s="36">
        <v>26.8</v>
      </c>
      <c r="C35" s="36">
        <v>45.5</v>
      </c>
      <c r="D35" s="36">
        <v>39.299999999999997</v>
      </c>
      <c r="E35" s="36">
        <v>47.2</v>
      </c>
      <c r="F35" s="36">
        <v>50.3</v>
      </c>
      <c r="G35" s="47">
        <v>33.417831749999991</v>
      </c>
      <c r="H35" s="47">
        <v>26.548540940000034</v>
      </c>
      <c r="I35" s="47">
        <v>32.295744319999983</v>
      </c>
    </row>
    <row r="36" spans="1:9" x14ac:dyDescent="0.2">
      <c r="A36" s="36" t="s">
        <v>4</v>
      </c>
      <c r="B36" s="36">
        <v>40.799999999999997</v>
      </c>
      <c r="C36" s="36">
        <v>66.599999999999994</v>
      </c>
      <c r="D36" s="36">
        <v>47.9</v>
      </c>
      <c r="E36" s="36">
        <v>32.799999999999997</v>
      </c>
      <c r="F36" s="36">
        <v>27.1</v>
      </c>
      <c r="G36" s="47">
        <v>21.398834530000009</v>
      </c>
      <c r="H36" s="47">
        <v>31.098427710000028</v>
      </c>
      <c r="I36" s="47">
        <v>29.945537579999986</v>
      </c>
    </row>
    <row r="37" spans="1:9" x14ac:dyDescent="0.2">
      <c r="A37" s="36" t="s">
        <v>82</v>
      </c>
      <c r="B37" s="36">
        <v>31.9</v>
      </c>
      <c r="C37" s="36">
        <v>26</v>
      </c>
      <c r="D37" s="36">
        <v>23.6</v>
      </c>
      <c r="E37" s="36">
        <v>79.900000000000006</v>
      </c>
      <c r="F37" s="36">
        <v>48.7</v>
      </c>
      <c r="G37" s="47">
        <v>38.270562010000177</v>
      </c>
      <c r="H37" s="47">
        <v>36.458661060000061</v>
      </c>
      <c r="I37" s="47">
        <v>24.623069770000019</v>
      </c>
    </row>
    <row r="38" spans="1:9" x14ac:dyDescent="0.2">
      <c r="A38" s="36" t="s">
        <v>26</v>
      </c>
      <c r="B38" s="36">
        <v>5.4</v>
      </c>
      <c r="C38" s="36">
        <v>6.4</v>
      </c>
      <c r="D38" s="36">
        <v>7.1</v>
      </c>
      <c r="E38" s="36">
        <v>8.1999999999999993</v>
      </c>
      <c r="F38" s="36">
        <v>7.2</v>
      </c>
      <c r="G38" s="47">
        <v>5.7752296099999754</v>
      </c>
      <c r="H38" s="47">
        <v>3.0221757600000028</v>
      </c>
      <c r="I38" s="47">
        <v>1.9233965399999997</v>
      </c>
    </row>
    <row r="39" spans="1:9" x14ac:dyDescent="0.2">
      <c r="A39" s="36" t="s">
        <v>27</v>
      </c>
      <c r="B39" s="36">
        <v>0.5</v>
      </c>
      <c r="C39" s="36">
        <v>1.9</v>
      </c>
      <c r="D39" s="36">
        <v>3.5</v>
      </c>
      <c r="E39" s="36">
        <v>3.2</v>
      </c>
      <c r="F39" s="36">
        <v>1.2</v>
      </c>
      <c r="G39" s="47">
        <v>1.33111493</v>
      </c>
      <c r="H39" s="47">
        <v>0.89984258999999978</v>
      </c>
      <c r="I39" s="47">
        <v>1.5567602499999997</v>
      </c>
    </row>
    <row r="40" spans="1:9" x14ac:dyDescent="0.2">
      <c r="A40" s="36" t="s">
        <v>28</v>
      </c>
      <c r="B40" s="36">
        <v>2.7</v>
      </c>
      <c r="C40" s="36">
        <v>7.9</v>
      </c>
      <c r="D40" s="36">
        <v>4</v>
      </c>
      <c r="E40" s="36">
        <v>2.2999999999999998</v>
      </c>
      <c r="F40" s="36">
        <v>2.1</v>
      </c>
      <c r="G40" s="47">
        <v>2.1360363099999993</v>
      </c>
      <c r="H40" s="47">
        <v>1.5765819099999998</v>
      </c>
      <c r="I40" s="47">
        <v>1.4636369299999994</v>
      </c>
    </row>
    <row r="41" spans="1:9" x14ac:dyDescent="0.2">
      <c r="A41" s="36" t="s">
        <v>83</v>
      </c>
      <c r="B41" s="36">
        <v>1.4</v>
      </c>
      <c r="C41" s="36">
        <v>0.4</v>
      </c>
      <c r="D41" s="36">
        <v>0.1</v>
      </c>
      <c r="E41" s="47">
        <v>0</v>
      </c>
      <c r="F41" s="47">
        <v>0</v>
      </c>
      <c r="G41" s="47">
        <v>0.26667071000000014</v>
      </c>
      <c r="H41" s="47">
        <v>0.69539354000000031</v>
      </c>
      <c r="I41" s="47">
        <v>0.69050537999999961</v>
      </c>
    </row>
    <row r="42" spans="1:9" x14ac:dyDescent="0.2">
      <c r="A42" s="36" t="s">
        <v>29</v>
      </c>
      <c r="B42" s="36">
        <v>0.2</v>
      </c>
      <c r="C42" s="36">
        <v>0.2</v>
      </c>
      <c r="D42" s="36">
        <v>0.2</v>
      </c>
      <c r="E42" s="47">
        <v>0.1</v>
      </c>
      <c r="F42" s="47">
        <v>0</v>
      </c>
      <c r="G42" s="47">
        <v>8.8654830000000032E-2</v>
      </c>
      <c r="H42" s="47">
        <v>9.5249579999999945E-2</v>
      </c>
      <c r="I42" s="47">
        <v>5.7409549999999983E-2</v>
      </c>
    </row>
    <row r="43" spans="1:9" x14ac:dyDescent="0.2">
      <c r="A43" s="26" t="s">
        <v>3</v>
      </c>
      <c r="B43" s="36">
        <v>948.1</v>
      </c>
      <c r="C43" s="36">
        <v>957</v>
      </c>
      <c r="D43" s="36">
        <v>873.7</v>
      </c>
      <c r="E43" s="36">
        <v>951.4</v>
      </c>
      <c r="F43" s="36">
        <v>848.4</v>
      </c>
      <c r="G43" s="47">
        <v>877.04683351000028</v>
      </c>
      <c r="H43" s="47">
        <v>918.00737530000072</v>
      </c>
      <c r="I43" s="47">
        <v>762.98850243000015</v>
      </c>
    </row>
    <row r="44" spans="1:9" x14ac:dyDescent="0.2">
      <c r="A44" s="4"/>
      <c r="B44" s="17"/>
      <c r="C44" s="17"/>
      <c r="D44" s="17"/>
    </row>
    <row r="45" spans="1:9" x14ac:dyDescent="0.2">
      <c r="A45" s="4" t="s">
        <v>32</v>
      </c>
    </row>
    <row r="46" spans="1:9" ht="3" customHeight="1" x14ac:dyDescent="0.2">
      <c r="A46" s="4"/>
    </row>
    <row r="47" spans="1:9" x14ac:dyDescent="0.2">
      <c r="A47" s="1"/>
      <c r="B47" s="27">
        <v>2017</v>
      </c>
      <c r="C47" s="27">
        <v>2018</v>
      </c>
      <c r="D47" s="27">
        <v>2019</v>
      </c>
      <c r="E47" s="27">
        <v>2020</v>
      </c>
      <c r="F47" s="27">
        <v>2021</v>
      </c>
      <c r="G47" s="27">
        <v>2022</v>
      </c>
      <c r="H47" s="27">
        <v>2023</v>
      </c>
      <c r="I47" s="27">
        <v>2024</v>
      </c>
    </row>
    <row r="48" spans="1:9" x14ac:dyDescent="0.2">
      <c r="A48" s="36" t="s">
        <v>22</v>
      </c>
      <c r="B48" s="21">
        <f t="shared" ref="B48:I49" si="0">B29/B$43*100</f>
        <v>20.293218014977324</v>
      </c>
      <c r="C48" s="21">
        <f t="shared" si="0"/>
        <v>28.140020898641588</v>
      </c>
      <c r="D48" s="21">
        <f t="shared" si="0"/>
        <v>21.105642669108391</v>
      </c>
      <c r="E48" s="21">
        <f t="shared" si="0"/>
        <v>24.826571368509565</v>
      </c>
      <c r="F48" s="21">
        <f t="shared" si="0"/>
        <v>22.418670438472418</v>
      </c>
      <c r="G48" s="21">
        <f t="shared" si="0"/>
        <v>20.585483333592279</v>
      </c>
      <c r="H48" s="21">
        <f t="shared" si="0"/>
        <v>20.851776690513471</v>
      </c>
      <c r="I48" s="21">
        <f t="shared" si="0"/>
        <v>24.199473938591829</v>
      </c>
    </row>
    <row r="49" spans="1:9" x14ac:dyDescent="0.2">
      <c r="A49" s="36" t="s">
        <v>6</v>
      </c>
      <c r="B49" s="21">
        <f t="shared" si="0"/>
        <v>15.051154941461869</v>
      </c>
      <c r="C49" s="21">
        <f t="shared" si="0"/>
        <v>15.203761755485893</v>
      </c>
      <c r="D49" s="21">
        <f t="shared" si="0"/>
        <v>16.138262561519973</v>
      </c>
      <c r="E49" s="21">
        <f t="shared" si="0"/>
        <v>16.281269707799034</v>
      </c>
      <c r="F49" s="21">
        <f t="shared" si="0"/>
        <v>19.165487977369168</v>
      </c>
      <c r="G49" s="21">
        <f t="shared" si="0"/>
        <v>20.842506443860916</v>
      </c>
      <c r="H49" s="21">
        <f t="shared" si="0"/>
        <v>17.045423730812995</v>
      </c>
      <c r="I49" s="21">
        <f t="shared" si="0"/>
        <v>20.121351391410368</v>
      </c>
    </row>
    <row r="50" spans="1:9" x14ac:dyDescent="0.2">
      <c r="A50" s="36" t="s">
        <v>23</v>
      </c>
      <c r="B50" s="21">
        <f t="shared" ref="B50:I50" si="1">B33/B$43*100</f>
        <v>11.654888724818056</v>
      </c>
      <c r="C50" s="21">
        <f t="shared" si="1"/>
        <v>9.655172413793105</v>
      </c>
      <c r="D50" s="21">
        <f t="shared" si="1"/>
        <v>11.354011674487809</v>
      </c>
      <c r="E50" s="21">
        <f t="shared" si="1"/>
        <v>11.078410763085978</v>
      </c>
      <c r="F50" s="21">
        <f t="shared" si="1"/>
        <v>12.069778406412071</v>
      </c>
      <c r="G50" s="21">
        <f t="shared" si="1"/>
        <v>18.145644169660564</v>
      </c>
      <c r="H50" s="21">
        <f t="shared" si="1"/>
        <v>8.7767695911669197</v>
      </c>
      <c r="I50" s="21">
        <f t="shared" si="1"/>
        <v>10.039086112837904</v>
      </c>
    </row>
    <row r="51" spans="1:9" x14ac:dyDescent="0.2">
      <c r="A51" s="36" t="s">
        <v>86</v>
      </c>
      <c r="B51" s="21">
        <f t="shared" ref="B51:I52" si="2">B31/B$43*100</f>
        <v>22.613648349330241</v>
      </c>
      <c r="C51" s="21">
        <f t="shared" si="2"/>
        <v>15.506792058516197</v>
      </c>
      <c r="D51" s="21">
        <f t="shared" si="2"/>
        <v>16.115371408950441</v>
      </c>
      <c r="E51" s="21">
        <f t="shared" si="2"/>
        <v>11.015345806180365</v>
      </c>
      <c r="F51" s="21">
        <f t="shared" si="2"/>
        <v>12.694483734087694</v>
      </c>
      <c r="G51" s="21">
        <f t="shared" si="2"/>
        <v>12.106810617518676</v>
      </c>
      <c r="H51" s="21">
        <f t="shared" si="2"/>
        <v>9.1969940135185659</v>
      </c>
      <c r="I51" s="21">
        <f t="shared" si="2"/>
        <v>13.341892616440765</v>
      </c>
    </row>
    <row r="52" spans="1:9" x14ac:dyDescent="0.2">
      <c r="A52" s="36" t="s">
        <v>24</v>
      </c>
      <c r="B52" s="21">
        <f t="shared" si="2"/>
        <v>9.0180360721442874</v>
      </c>
      <c r="C52" s="21">
        <f t="shared" si="2"/>
        <v>7.4817136886102391</v>
      </c>
      <c r="D52" s="21">
        <f t="shared" si="2"/>
        <v>11.743161268169851</v>
      </c>
      <c r="E52" s="21">
        <f t="shared" si="2"/>
        <v>10.847172587765399</v>
      </c>
      <c r="F52" s="21">
        <f t="shared" si="2"/>
        <v>9.0876944837340883</v>
      </c>
      <c r="G52" s="21">
        <f t="shared" si="2"/>
        <v>6.9599841111910115</v>
      </c>
      <c r="H52" s="21">
        <f t="shared" si="2"/>
        <v>25.311894549220209</v>
      </c>
      <c r="I52" s="21">
        <f t="shared" si="2"/>
        <v>13.322530915769049</v>
      </c>
    </row>
    <row r="53" spans="1:9" x14ac:dyDescent="0.2">
      <c r="A53" s="36" t="s">
        <v>82</v>
      </c>
      <c r="B53" s="21">
        <f t="shared" ref="B53:I53" si="3">B37/B$43*100</f>
        <v>3.3646239848117285</v>
      </c>
      <c r="C53" s="21">
        <f t="shared" si="3"/>
        <v>2.7168234064785786</v>
      </c>
      <c r="D53" s="21">
        <f t="shared" si="3"/>
        <v>2.7011560032047615</v>
      </c>
      <c r="E53" s="21">
        <f t="shared" si="3"/>
        <v>8.398150094597435</v>
      </c>
      <c r="F53" s="21">
        <f t="shared" si="3"/>
        <v>5.7402168788307408</v>
      </c>
      <c r="G53" s="21">
        <f t="shared" si="3"/>
        <v>4.3635710828393073</v>
      </c>
      <c r="H53" s="21">
        <f t="shared" si="3"/>
        <v>3.9714997984722653</v>
      </c>
      <c r="I53" s="21">
        <f t="shared" si="3"/>
        <v>3.227187525313862</v>
      </c>
    </row>
    <row r="54" spans="1:9" x14ac:dyDescent="0.2">
      <c r="A54" s="36" t="s">
        <v>5</v>
      </c>
      <c r="B54" s="21">
        <f t="shared" ref="B54:I56" si="4">B34/B$43*100</f>
        <v>9.5454066026790425</v>
      </c>
      <c r="C54" s="21">
        <f t="shared" si="4"/>
        <v>7.7429467084639487</v>
      </c>
      <c r="D54" s="21">
        <f t="shared" si="4"/>
        <v>9.0992331463889204</v>
      </c>
      <c r="E54" s="21">
        <f t="shared" si="4"/>
        <v>7.6413706117300819</v>
      </c>
      <c r="F54" s="21">
        <f t="shared" si="4"/>
        <v>8.4158415841584162</v>
      </c>
      <c r="G54" s="21">
        <f t="shared" si="4"/>
        <v>9.6297545345435704</v>
      </c>
      <c r="H54" s="21">
        <f t="shared" si="4"/>
        <v>7.8590127357553135</v>
      </c>
      <c r="I54" s="21">
        <f t="shared" si="4"/>
        <v>6.8075853665652399</v>
      </c>
    </row>
    <row r="55" spans="1:9" x14ac:dyDescent="0.2">
      <c r="A55" s="36" t="s">
        <v>25</v>
      </c>
      <c r="B55" s="21">
        <f t="shared" si="4"/>
        <v>2.8267060436662801</v>
      </c>
      <c r="C55" s="21">
        <f t="shared" si="4"/>
        <v>4.7544409613375134</v>
      </c>
      <c r="D55" s="21">
        <f t="shared" si="4"/>
        <v>4.4981114799130131</v>
      </c>
      <c r="E55" s="21">
        <f t="shared" si="4"/>
        <v>4.9611099432415395</v>
      </c>
      <c r="F55" s="21">
        <f t="shared" si="4"/>
        <v>5.9288071664309285</v>
      </c>
      <c r="G55" s="21">
        <f t="shared" si="4"/>
        <v>3.8102676474253472</v>
      </c>
      <c r="H55" s="21">
        <f t="shared" si="4"/>
        <v>2.8919746893453979</v>
      </c>
      <c r="I55" s="21">
        <f t="shared" si="4"/>
        <v>4.2327956734790941</v>
      </c>
    </row>
    <row r="56" spans="1:9" x14ac:dyDescent="0.2">
      <c r="A56" s="36" t="s">
        <v>4</v>
      </c>
      <c r="B56" s="21">
        <f t="shared" si="4"/>
        <v>4.3033435291635902</v>
      </c>
      <c r="C56" s="21">
        <f t="shared" si="4"/>
        <v>6.9592476489028208</v>
      </c>
      <c r="D56" s="21">
        <f t="shared" si="4"/>
        <v>5.4824310404028838</v>
      </c>
      <c r="E56" s="21">
        <f t="shared" si="4"/>
        <v>3.4475509775068316</v>
      </c>
      <c r="F56" s="21">
        <f t="shared" si="4"/>
        <v>3.1942479962281944</v>
      </c>
      <c r="G56" s="21">
        <f t="shared" si="4"/>
        <v>2.4398736432763157</v>
      </c>
      <c r="H56" s="21">
        <f t="shared" si="4"/>
        <v>3.3876010745379035</v>
      </c>
      <c r="I56" s="21">
        <f t="shared" si="4"/>
        <v>3.9247691786479204</v>
      </c>
    </row>
    <row r="57" spans="1:9" x14ac:dyDescent="0.2">
      <c r="A57" s="36" t="s">
        <v>26</v>
      </c>
      <c r="B57" s="21">
        <f t="shared" ref="B57:I58" si="5">B38/B$43*100</f>
        <v>0.56956017297753403</v>
      </c>
      <c r="C57" s="21">
        <f t="shared" si="5"/>
        <v>0.66875653082549635</v>
      </c>
      <c r="D57" s="21">
        <f t="shared" si="5"/>
        <v>0.81263591621838149</v>
      </c>
      <c r="E57" s="21">
        <f t="shared" si="5"/>
        <v>0.8618877443767079</v>
      </c>
      <c r="F57" s="21">
        <f t="shared" si="5"/>
        <v>0.84865629420084865</v>
      </c>
      <c r="G57" s="21">
        <f t="shared" si="5"/>
        <v>0.65848588574080114</v>
      </c>
      <c r="H57" s="21">
        <f t="shared" si="5"/>
        <v>0.32921040084371533</v>
      </c>
      <c r="I57" s="21">
        <f t="shared" si="5"/>
        <v>0.25208722462714439</v>
      </c>
    </row>
    <row r="58" spans="1:9" x14ac:dyDescent="0.2">
      <c r="A58" s="36" t="s">
        <v>27</v>
      </c>
      <c r="B58" s="21">
        <f t="shared" si="5"/>
        <v>5.2737053053475369E-2</v>
      </c>
      <c r="C58" s="21">
        <f t="shared" si="5"/>
        <v>0.19853709508881923</v>
      </c>
      <c r="D58" s="21">
        <f t="shared" si="5"/>
        <v>0.40059516996680783</v>
      </c>
      <c r="E58" s="21">
        <f t="shared" si="5"/>
        <v>0.33634643682993487</v>
      </c>
      <c r="F58" s="21">
        <f t="shared" si="5"/>
        <v>0.14144271570014144</v>
      </c>
      <c r="G58" s="21">
        <f t="shared" si="5"/>
        <v>0.15177238878712881</v>
      </c>
      <c r="H58" s="21">
        <f t="shared" si="5"/>
        <v>9.8021281115082015E-2</v>
      </c>
      <c r="I58" s="21">
        <f t="shared" si="5"/>
        <v>0.20403456212537405</v>
      </c>
    </row>
    <row r="59" spans="1:9" x14ac:dyDescent="0.2">
      <c r="A59" s="36" t="s">
        <v>29</v>
      </c>
      <c r="B59" s="21">
        <f t="shared" ref="B59:I59" si="6">B42/B$43*100</f>
        <v>2.1094821221390149E-2</v>
      </c>
      <c r="C59" s="21">
        <f t="shared" si="6"/>
        <v>2.0898641588296761E-2</v>
      </c>
      <c r="D59" s="21">
        <f t="shared" si="6"/>
        <v>2.2891152569531874E-2</v>
      </c>
      <c r="E59" s="21">
        <f t="shared" si="6"/>
        <v>1.0510826150935465E-2</v>
      </c>
      <c r="F59" s="21">
        <f t="shared" si="6"/>
        <v>0</v>
      </c>
      <c r="G59" s="21">
        <f t="shared" si="6"/>
        <v>1.0108334767619815E-2</v>
      </c>
      <c r="H59" s="21">
        <f t="shared" si="6"/>
        <v>1.0375687882558982E-2</v>
      </c>
      <c r="I59" s="21">
        <f t="shared" si="6"/>
        <v>7.5243008010159344E-3</v>
      </c>
    </row>
    <row r="60" spans="1:9" x14ac:dyDescent="0.2">
      <c r="A60" s="36" t="s">
        <v>83</v>
      </c>
      <c r="B60" s="21">
        <f t="shared" ref="B60:I60" si="7">B41/B$43*100</f>
        <v>0.14766374854973105</v>
      </c>
      <c r="C60" s="21">
        <f t="shared" si="7"/>
        <v>4.1797283176593522E-2</v>
      </c>
      <c r="D60" s="21">
        <f t="shared" si="7"/>
        <v>1.1445576284765937E-2</v>
      </c>
      <c r="E60" s="21">
        <f t="shared" si="7"/>
        <v>0</v>
      </c>
      <c r="F60" s="21">
        <f t="shared" si="7"/>
        <v>0</v>
      </c>
      <c r="G60" s="21">
        <f t="shared" si="7"/>
        <v>3.0405526798696268E-2</v>
      </c>
      <c r="H60" s="21">
        <f t="shared" si="7"/>
        <v>7.5750321697878389E-2</v>
      </c>
      <c r="I60" s="21">
        <f t="shared" si="7"/>
        <v>9.0500102924335954E-2</v>
      </c>
    </row>
    <row r="61" spans="1:9" x14ac:dyDescent="0.2">
      <c r="A61" s="36" t="s">
        <v>28</v>
      </c>
      <c r="B61" s="21">
        <f t="shared" ref="B61:I61" si="8">B40/B$43*100</f>
        <v>0.28478008648876701</v>
      </c>
      <c r="C61" s="21">
        <f t="shared" si="8"/>
        <v>0.8254963427377221</v>
      </c>
      <c r="D61" s="21">
        <f t="shared" si="8"/>
        <v>0.4578230513906375</v>
      </c>
      <c r="E61" s="21">
        <f t="shared" si="8"/>
        <v>0.24174900147151565</v>
      </c>
      <c r="F61" s="21">
        <f t="shared" si="8"/>
        <v>0.24752475247524752</v>
      </c>
      <c r="G61" s="21">
        <f t="shared" si="8"/>
        <v>0.24354871694267896</v>
      </c>
      <c r="H61" s="21">
        <f t="shared" si="8"/>
        <v>0.17173956902958212</v>
      </c>
      <c r="I61" s="21">
        <f t="shared" si="8"/>
        <v>0.19182948698945562</v>
      </c>
    </row>
    <row r="62" spans="1:9" x14ac:dyDescent="0.2">
      <c r="A62" s="26" t="s">
        <v>3</v>
      </c>
      <c r="B62" s="22">
        <f>B43/$B$43*100</f>
        <v>100</v>
      </c>
      <c r="C62" s="22">
        <f>C43/$C$43*100</f>
        <v>100</v>
      </c>
      <c r="D62" s="22">
        <f>D43/$D$43*100</f>
        <v>100</v>
      </c>
      <c r="E62" s="22">
        <f>E43/$E$43*100</f>
        <v>100</v>
      </c>
      <c r="F62" s="22">
        <f>F43/$F$43*100</f>
        <v>100</v>
      </c>
      <c r="G62" s="22">
        <f>G43/$G$43*100</f>
        <v>100</v>
      </c>
      <c r="H62" s="22">
        <f>H43/$H$43*100</f>
        <v>100</v>
      </c>
      <c r="I62" s="22">
        <f>I43/$I$43*100</f>
        <v>100</v>
      </c>
    </row>
    <row r="64" spans="1:9" x14ac:dyDescent="0.2">
      <c r="A64" s="4" t="s">
        <v>33</v>
      </c>
    </row>
    <row r="65" spans="1:9" ht="3" customHeight="1" x14ac:dyDescent="0.2">
      <c r="A65" s="4"/>
    </row>
    <row r="66" spans="1:9" x14ac:dyDescent="0.2">
      <c r="A66" s="1"/>
      <c r="B66" s="27">
        <v>2017</v>
      </c>
      <c r="C66" s="27">
        <v>2018</v>
      </c>
      <c r="D66" s="27">
        <v>2019</v>
      </c>
      <c r="E66" s="27">
        <v>2020</v>
      </c>
      <c r="F66" s="27">
        <v>2021</v>
      </c>
      <c r="G66" s="27">
        <v>2022</v>
      </c>
      <c r="H66" s="27">
        <v>2023</v>
      </c>
      <c r="I66" s="27">
        <v>2024</v>
      </c>
    </row>
    <row r="67" spans="1:9" x14ac:dyDescent="0.2">
      <c r="A67" s="36" t="s">
        <v>22</v>
      </c>
      <c r="B67" s="14">
        <f>B29/B9*1000000</f>
        <v>36.65425095360726</v>
      </c>
      <c r="C67" s="14">
        <f t="shared" ref="C67:I67" si="9">C29/C9*1000000</f>
        <v>42.915770430109703</v>
      </c>
      <c r="D67" s="14">
        <f t="shared" si="9"/>
        <v>36.265196130008</v>
      </c>
      <c r="E67" s="14">
        <f t="shared" si="9"/>
        <v>36.534474615461782</v>
      </c>
      <c r="F67" s="14">
        <f t="shared" si="9"/>
        <v>34.608473754152641</v>
      </c>
      <c r="G67" s="14">
        <f t="shared" si="9"/>
        <v>34.735879592713694</v>
      </c>
      <c r="H67" s="14">
        <f t="shared" si="9"/>
        <v>35.777250616930601</v>
      </c>
      <c r="I67" s="14">
        <f t="shared" si="9"/>
        <v>34.864147498336735</v>
      </c>
    </row>
    <row r="68" spans="1:9" x14ac:dyDescent="0.2">
      <c r="A68" s="36" t="s">
        <v>6</v>
      </c>
      <c r="B68" s="14">
        <f>B30/B11*1000000</f>
        <v>51.170356782103227</v>
      </c>
      <c r="C68" s="14">
        <f t="shared" ref="C68:I68" si="10">C30/C11*1000000</f>
        <v>49.459074431106806</v>
      </c>
      <c r="D68" s="14">
        <f t="shared" si="10"/>
        <v>49.74542601832885</v>
      </c>
      <c r="E68" s="14">
        <f t="shared" si="10"/>
        <v>45.474260397263812</v>
      </c>
      <c r="F68" s="14">
        <f t="shared" si="10"/>
        <v>49.741153735414905</v>
      </c>
      <c r="G68" s="14">
        <f t="shared" si="10"/>
        <v>49.83310745370413</v>
      </c>
      <c r="H68" s="14">
        <f t="shared" si="10"/>
        <v>52.53134829396177</v>
      </c>
      <c r="I68" s="14">
        <f t="shared" si="10"/>
        <v>53.278126862831691</v>
      </c>
    </row>
    <row r="69" spans="1:9" x14ac:dyDescent="0.2">
      <c r="A69" s="36" t="s">
        <v>23</v>
      </c>
      <c r="B69" s="14">
        <f>B33/B13*1000000</f>
        <v>40.709829556343522</v>
      </c>
      <c r="C69" s="14">
        <f t="shared" ref="C69:I69" si="11">C33/C13*1000000</f>
        <v>42.094107691861261</v>
      </c>
      <c r="D69" s="14">
        <f t="shared" si="11"/>
        <v>40.153331324371479</v>
      </c>
      <c r="E69" s="14">
        <f t="shared" si="11"/>
        <v>41.93000536684179</v>
      </c>
      <c r="F69" s="14">
        <f t="shared" si="11"/>
        <v>40.990566829647022</v>
      </c>
      <c r="G69" s="14">
        <f t="shared" si="11"/>
        <v>47.062641163003747</v>
      </c>
      <c r="H69" s="14">
        <f>H33/H13*1000000</f>
        <v>43.889106732170845</v>
      </c>
      <c r="I69" s="14">
        <f t="shared" si="11"/>
        <v>42.373117350886261</v>
      </c>
    </row>
    <row r="70" spans="1:9" x14ac:dyDescent="0.2">
      <c r="A70" s="36" t="s">
        <v>86</v>
      </c>
      <c r="B70" s="14">
        <f>B31/B12*1000000</f>
        <v>47.229068876858442</v>
      </c>
      <c r="C70" s="14">
        <f t="shared" ref="C70:I70" si="12">C31/C12*1000000</f>
        <v>44.277406040509838</v>
      </c>
      <c r="D70" s="14">
        <f t="shared" si="12"/>
        <v>44.782284515001791</v>
      </c>
      <c r="E70" s="14">
        <f t="shared" si="12"/>
        <v>39.299970623271996</v>
      </c>
      <c r="F70" s="14">
        <f t="shared" si="12"/>
        <v>45.112482067945429</v>
      </c>
      <c r="G70" s="14">
        <f t="shared" si="12"/>
        <v>46.724120705733633</v>
      </c>
      <c r="H70" s="14">
        <f t="shared" si="12"/>
        <v>44.47057648972423</v>
      </c>
      <c r="I70" s="14">
        <f t="shared" si="12"/>
        <v>48.397740220560337</v>
      </c>
    </row>
    <row r="71" spans="1:9" x14ac:dyDescent="0.2">
      <c r="A71" s="36" t="s">
        <v>24</v>
      </c>
      <c r="B71" s="14">
        <f>B32/B10*1000000</f>
        <v>38.442602323899855</v>
      </c>
      <c r="C71" s="14">
        <f t="shared" ref="C71:I71" si="13">C32/C10*1000000</f>
        <v>34.75693752720575</v>
      </c>
      <c r="D71" s="14">
        <f t="shared" si="13"/>
        <v>39.234211966684704</v>
      </c>
      <c r="E71" s="14">
        <f t="shared" si="13"/>
        <v>36.989771134715824</v>
      </c>
      <c r="F71" s="14">
        <f t="shared" si="13"/>
        <v>34.071205460902696</v>
      </c>
      <c r="G71" s="14">
        <f t="shared" si="13"/>
        <v>33.031019862046129</v>
      </c>
      <c r="H71" s="14">
        <f t="shared" si="13"/>
        <v>47.579613849263161</v>
      </c>
      <c r="I71" s="14">
        <f t="shared" si="13"/>
        <v>35.243072424737754</v>
      </c>
    </row>
    <row r="72" spans="1:9" x14ac:dyDescent="0.2">
      <c r="A72" s="36" t="s">
        <v>82</v>
      </c>
      <c r="B72" s="14">
        <f>B37/B17*1000000</f>
        <v>35.370004732484404</v>
      </c>
      <c r="C72" s="14">
        <f t="shared" ref="C72:I72" si="14">C37/C17*1000000</f>
        <v>33.489063058063891</v>
      </c>
      <c r="D72" s="14">
        <f t="shared" si="14"/>
        <v>31.595860877962224</v>
      </c>
      <c r="E72" s="14">
        <f t="shared" si="14"/>
        <v>40.624319628445107</v>
      </c>
      <c r="F72" s="14">
        <f t="shared" si="14"/>
        <v>36.005836878860727</v>
      </c>
      <c r="G72" s="14">
        <f t="shared" si="14"/>
        <v>35.680500226367599</v>
      </c>
      <c r="H72" s="14">
        <f t="shared" si="14"/>
        <v>36.258515504754392</v>
      </c>
      <c r="I72" s="14">
        <f t="shared" si="14"/>
        <v>32.006082022245117</v>
      </c>
    </row>
    <row r="73" spans="1:9" x14ac:dyDescent="0.2">
      <c r="A73" s="36" t="s">
        <v>5</v>
      </c>
      <c r="B73" s="14">
        <f>B34/B14*1000000</f>
        <v>45.274940153532988</v>
      </c>
      <c r="C73" s="14">
        <f t="shared" ref="C73:I73" si="15">C34/C14*1000000</f>
        <v>43.370773724419003</v>
      </c>
      <c r="D73" s="14">
        <f t="shared" si="15"/>
        <v>38.670755668592832</v>
      </c>
      <c r="E73" s="14">
        <f t="shared" si="15"/>
        <v>35.388780903617985</v>
      </c>
      <c r="F73" s="14">
        <f t="shared" si="15"/>
        <v>36.86466080505474</v>
      </c>
      <c r="G73" s="14">
        <f t="shared" si="15"/>
        <v>40.85387084327872</v>
      </c>
      <c r="H73" s="14">
        <f t="shared" si="15"/>
        <v>37.356066646811726</v>
      </c>
      <c r="I73" s="14">
        <f t="shared" si="15"/>
        <v>32.13182468540333</v>
      </c>
    </row>
    <row r="74" spans="1:9" x14ac:dyDescent="0.2">
      <c r="A74" s="36" t="s">
        <v>25</v>
      </c>
      <c r="B74" s="14">
        <f>B35/B15*1000000</f>
        <v>35.199729834192979</v>
      </c>
      <c r="C74" s="14">
        <f t="shared" ref="C74:I74" si="16">C35/C15*1000000</f>
        <v>43.080706837560435</v>
      </c>
      <c r="D74" s="14">
        <f t="shared" si="16"/>
        <v>41.941342439278998</v>
      </c>
      <c r="E74" s="14">
        <f t="shared" si="16"/>
        <v>38.116080423314571</v>
      </c>
      <c r="F74" s="14">
        <f t="shared" si="16"/>
        <v>40.515665019413404</v>
      </c>
      <c r="G74" s="14">
        <f t="shared" si="16"/>
        <v>40.280345953720172</v>
      </c>
      <c r="H74" s="14">
        <f t="shared" si="16"/>
        <v>35.917244096845714</v>
      </c>
      <c r="I74" s="14">
        <f t="shared" si="16"/>
        <v>39.452782929915145</v>
      </c>
    </row>
    <row r="75" spans="1:9" x14ac:dyDescent="0.2">
      <c r="A75" s="36" t="s">
        <v>4</v>
      </c>
      <c r="B75" s="14">
        <f>B36/B16*1000000</f>
        <v>40.980492843460006</v>
      </c>
      <c r="C75" s="14">
        <f t="shared" ref="C75:I75" si="17">C36/C16*1000000</f>
        <v>48.060046828670465</v>
      </c>
      <c r="D75" s="14">
        <f t="shared" si="17"/>
        <v>41.303441058657356</v>
      </c>
      <c r="E75" s="14">
        <f t="shared" si="17"/>
        <v>28.917039587744547</v>
      </c>
      <c r="F75" s="14">
        <f t="shared" si="17"/>
        <v>26.822730484481522</v>
      </c>
      <c r="G75" s="14">
        <f t="shared" si="17"/>
        <v>28.451082241055879</v>
      </c>
      <c r="H75" s="14">
        <f t="shared" si="17"/>
        <v>38.873358744128645</v>
      </c>
      <c r="I75" s="14">
        <f t="shared" si="17"/>
        <v>38.587999632334807</v>
      </c>
    </row>
    <row r="76" spans="1:9" x14ac:dyDescent="0.2">
      <c r="A76" s="36" t="s">
        <v>26</v>
      </c>
      <c r="B76" s="14">
        <f t="shared" ref="B76:I76" si="18">B38/B18*1000000</f>
        <v>25.429300751680707</v>
      </c>
      <c r="C76" s="14">
        <f t="shared" si="18"/>
        <v>27.647152183490132</v>
      </c>
      <c r="D76" s="14">
        <f t="shared" si="18"/>
        <v>24.003596347274737</v>
      </c>
      <c r="E76" s="14">
        <f t="shared" si="18"/>
        <v>21.325229330085879</v>
      </c>
      <c r="F76" s="14">
        <f t="shared" si="18"/>
        <v>21.861419731607338</v>
      </c>
      <c r="G76" s="14">
        <f t="shared" si="18"/>
        <v>21.458462805082096</v>
      </c>
      <c r="H76" s="14">
        <f t="shared" si="18"/>
        <v>17.883308435045926</v>
      </c>
      <c r="I76" s="14">
        <f t="shared" si="18"/>
        <v>19.472527225545615</v>
      </c>
    </row>
    <row r="77" spans="1:9" x14ac:dyDescent="0.2">
      <c r="A77" s="36" t="s">
        <v>27</v>
      </c>
      <c r="B77" s="14">
        <f>B39/B19*1000000</f>
        <v>5.3919127993980904</v>
      </c>
      <c r="C77" s="14">
        <f t="shared" ref="C77:I77" si="19">C39/C19*1000000</f>
        <v>11.04695350604721</v>
      </c>
      <c r="D77" s="14">
        <f t="shared" si="19"/>
        <v>27.782236165200448</v>
      </c>
      <c r="E77" s="14">
        <f t="shared" si="19"/>
        <v>33.131243103912944</v>
      </c>
      <c r="F77" s="14">
        <f t="shared" si="19"/>
        <v>13.073551692877849</v>
      </c>
      <c r="G77" s="14">
        <f t="shared" si="19"/>
        <v>14.3363456805175</v>
      </c>
      <c r="H77" s="14">
        <f t="shared" si="19"/>
        <v>10.392373689205817</v>
      </c>
      <c r="I77" s="14">
        <f t="shared" si="19"/>
        <v>22.365692869302308</v>
      </c>
    </row>
    <row r="78" spans="1:9" x14ac:dyDescent="0.2">
      <c r="A78" s="36" t="s">
        <v>28</v>
      </c>
      <c r="B78" s="14">
        <f>B40/B19*1000000</f>
        <v>29.116329116749693</v>
      </c>
      <c r="C78" s="14">
        <f t="shared" ref="C78:I78" si="20">C40/C19*1000000</f>
        <v>45.932069840933138</v>
      </c>
      <c r="D78" s="14">
        <f t="shared" si="20"/>
        <v>31.751127045943374</v>
      </c>
      <c r="E78" s="14">
        <f t="shared" si="20"/>
        <v>23.813080980937421</v>
      </c>
      <c r="F78" s="14">
        <f t="shared" si="20"/>
        <v>22.878715462536235</v>
      </c>
      <c r="G78" s="14">
        <f t="shared" si="20"/>
        <v>23.005492791142405</v>
      </c>
      <c r="H78" s="14">
        <f t="shared" si="20"/>
        <v>18.208104997966206</v>
      </c>
      <c r="I78" s="14">
        <f t="shared" si="20"/>
        <v>21.027806978337555</v>
      </c>
    </row>
    <row r="79" spans="1:9" x14ac:dyDescent="0.2">
      <c r="A79" s="36" t="s">
        <v>29</v>
      </c>
      <c r="B79" s="14">
        <f>B42/B23*1000000</f>
        <v>15.311028227411642</v>
      </c>
      <c r="C79" s="14">
        <f t="shared" ref="C79:I79" si="21">C42/C23*1000000</f>
        <v>16.45903592842954</v>
      </c>
      <c r="D79" s="14">
        <f t="shared" si="21"/>
        <v>19.640886039651015</v>
      </c>
      <c r="E79" s="14">
        <f t="shared" si="21"/>
        <v>7.4757859293747568</v>
      </c>
      <c r="F79" s="14">
        <f t="shared" si="21"/>
        <v>0</v>
      </c>
      <c r="G79" s="14">
        <f t="shared" si="21"/>
        <v>13.714019868389711</v>
      </c>
      <c r="H79" s="14">
        <f t="shared" si="21"/>
        <v>14.481980687566418</v>
      </c>
      <c r="I79" s="14">
        <f t="shared" si="21"/>
        <v>9.8165684318161173</v>
      </c>
    </row>
    <row r="80" spans="1:9" x14ac:dyDescent="0.2">
      <c r="A80" s="36" t="s">
        <v>83</v>
      </c>
      <c r="B80" s="14">
        <f>B41/B21*1000000</f>
        <v>40.521547043200613</v>
      </c>
      <c r="C80" s="14">
        <f t="shared" ref="C80:I80" si="22">C41/C21*1000000</f>
        <v>22.046888219520859</v>
      </c>
      <c r="D80" s="14">
        <f t="shared" si="22"/>
        <v>30.163819704816898</v>
      </c>
      <c r="E80" s="14">
        <f t="shared" si="22"/>
        <v>0</v>
      </c>
      <c r="F80" s="14">
        <f t="shared" si="22"/>
        <v>0</v>
      </c>
      <c r="G80" s="14">
        <f t="shared" si="22"/>
        <v>33.261329052665182</v>
      </c>
      <c r="H80" s="14">
        <f t="shared" si="22"/>
        <v>32.952167262471136</v>
      </c>
      <c r="I80" s="14">
        <f t="shared" si="22"/>
        <v>32.805521546717173</v>
      </c>
    </row>
    <row r="81" spans="1:9" x14ac:dyDescent="0.2">
      <c r="A81" s="3" t="s">
        <v>3</v>
      </c>
      <c r="B81" s="19">
        <f t="shared" ref="B81:I81" si="23">B43/B24*1000000</f>
        <v>41.816563971724932</v>
      </c>
      <c r="C81" s="19">
        <f t="shared" si="23"/>
        <v>42.907715681709099</v>
      </c>
      <c r="D81" s="19">
        <f t="shared" si="23"/>
        <v>40.41613726110306</v>
      </c>
      <c r="E81" s="19">
        <f t="shared" si="23"/>
        <v>38.252541527767562</v>
      </c>
      <c r="F81" s="19">
        <f t="shared" si="23"/>
        <v>38.646349863893818</v>
      </c>
      <c r="G81" s="19">
        <f t="shared" si="23"/>
        <v>40.759874242639498</v>
      </c>
      <c r="H81" s="19">
        <f t="shared" si="23"/>
        <v>42.222683285415606</v>
      </c>
      <c r="I81" s="19">
        <f t="shared" si="23"/>
        <v>39.772625596906188</v>
      </c>
    </row>
    <row r="82" spans="1:9" x14ac:dyDescent="0.2">
      <c r="A82" s="35" t="s">
        <v>77</v>
      </c>
    </row>
    <row r="83" spans="1:9" x14ac:dyDescent="0.2">
      <c r="A83" s="35"/>
    </row>
  </sheetData>
  <hyperlinks>
    <hyperlink ref="A2" location="Sommaire!A5" display="Retour au menu &quot;Marché du jeu vidéo&quot;" xr:uid="{98819AE0-F6DE-4762-BB7F-D14ACA1D36CA}"/>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ignoredErrors>
    <ignoredError sqref="B53 I53 C53:H53 B59:I59" formula="1"/>
  </ignoredErrors>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84"/>
  <sheetViews>
    <sheetView zoomScaleNormal="100" workbookViewId="0"/>
  </sheetViews>
  <sheetFormatPr baseColWidth="10" defaultColWidth="11.42578125" defaultRowHeight="12" x14ac:dyDescent="0.2"/>
  <cols>
    <col min="1" max="1" width="19.28515625" style="5" customWidth="1"/>
    <col min="2" max="4" width="4.5703125" style="5" bestFit="1" customWidth="1"/>
    <col min="5" max="9" width="6.42578125" style="5" bestFit="1" customWidth="1"/>
    <col min="10" max="16384" width="11.42578125" style="5"/>
  </cols>
  <sheetData>
    <row r="1" spans="1:9" x14ac:dyDescent="0.2">
      <c r="A1" s="6"/>
    </row>
    <row r="2" spans="1:9" ht="12.75" x14ac:dyDescent="0.2">
      <c r="A2" s="31" t="s">
        <v>18</v>
      </c>
    </row>
    <row r="3" spans="1:9" x14ac:dyDescent="0.2">
      <c r="A3" s="6"/>
    </row>
    <row r="4" spans="1:9" ht="15" x14ac:dyDescent="0.25">
      <c r="A4" s="25" t="s">
        <v>61</v>
      </c>
    </row>
    <row r="5" spans="1:9" ht="12.75" customHeight="1" x14ac:dyDescent="0.25">
      <c r="A5" s="25"/>
      <c r="B5" s="6"/>
      <c r="C5" s="6"/>
      <c r="D5" s="6"/>
      <c r="E5" s="6"/>
    </row>
    <row r="6" spans="1:9" x14ac:dyDescent="0.2">
      <c r="A6" s="4" t="s">
        <v>62</v>
      </c>
    </row>
    <row r="7" spans="1:9" ht="3" customHeight="1" x14ac:dyDescent="0.2">
      <c r="A7" s="4"/>
    </row>
    <row r="8" spans="1:9" x14ac:dyDescent="0.2">
      <c r="A8" s="3"/>
      <c r="B8" s="27">
        <v>2017</v>
      </c>
      <c r="C8" s="27">
        <v>2018</v>
      </c>
      <c r="D8" s="27">
        <v>2019</v>
      </c>
      <c r="E8" s="27">
        <v>2020</v>
      </c>
      <c r="F8" s="27">
        <v>2021</v>
      </c>
      <c r="G8" s="27">
        <v>2022</v>
      </c>
      <c r="H8" s="27">
        <v>2023</v>
      </c>
      <c r="I8" s="27">
        <v>2024</v>
      </c>
    </row>
    <row r="9" spans="1:9" x14ac:dyDescent="0.2">
      <c r="A9" s="36" t="s">
        <v>22</v>
      </c>
      <c r="B9" s="43" t="s">
        <v>79</v>
      </c>
      <c r="C9" s="43" t="s">
        <v>79</v>
      </c>
      <c r="D9" s="43" t="s">
        <v>79</v>
      </c>
      <c r="E9" s="43">
        <v>1206192.5700000003</v>
      </c>
      <c r="F9" s="43">
        <v>885967.76</v>
      </c>
      <c r="G9" s="43">
        <v>934047.02</v>
      </c>
      <c r="H9" s="43">
        <v>1049023.5299999998</v>
      </c>
      <c r="I9" s="43">
        <v>1296554.6700000034</v>
      </c>
    </row>
    <row r="10" spans="1:9" x14ac:dyDescent="0.2">
      <c r="A10" s="36" t="s">
        <v>86</v>
      </c>
      <c r="B10" s="43" t="s">
        <v>79</v>
      </c>
      <c r="C10" s="43" t="s">
        <v>79</v>
      </c>
      <c r="D10" s="43" t="s">
        <v>79</v>
      </c>
      <c r="E10" s="43">
        <v>1143436.9200000002</v>
      </c>
      <c r="F10" s="43">
        <v>975581.73</v>
      </c>
      <c r="G10" s="43">
        <v>750084.37</v>
      </c>
      <c r="H10" s="43">
        <v>836491.4800000001</v>
      </c>
      <c r="I10" s="43">
        <v>1040862.3100000028</v>
      </c>
    </row>
    <row r="11" spans="1:9" x14ac:dyDescent="0.2">
      <c r="A11" s="36" t="s">
        <v>23</v>
      </c>
      <c r="B11" s="43" t="s">
        <v>79</v>
      </c>
      <c r="C11" s="43" t="s">
        <v>79</v>
      </c>
      <c r="D11" s="43" t="s">
        <v>79</v>
      </c>
      <c r="E11" s="43">
        <v>632048.68999999994</v>
      </c>
      <c r="F11" s="43">
        <v>643913.18000000005</v>
      </c>
      <c r="G11" s="43">
        <v>598370.67000000004</v>
      </c>
      <c r="H11" s="43">
        <v>902965.9</v>
      </c>
      <c r="I11" s="43">
        <v>818003.42000000295</v>
      </c>
    </row>
    <row r="12" spans="1:9" x14ac:dyDescent="0.2">
      <c r="A12" s="36" t="s">
        <v>82</v>
      </c>
      <c r="B12" s="43" t="s">
        <v>79</v>
      </c>
      <c r="C12" s="43" t="s">
        <v>79</v>
      </c>
      <c r="D12" s="43" t="s">
        <v>79</v>
      </c>
      <c r="E12" s="43">
        <v>1175742.4100000013</v>
      </c>
      <c r="F12" s="43">
        <v>722746.7700000006</v>
      </c>
      <c r="G12" s="43">
        <v>585266.66000000027</v>
      </c>
      <c r="H12" s="43">
        <v>430037.97999999986</v>
      </c>
      <c r="I12" s="43">
        <v>692113.12000000617</v>
      </c>
    </row>
    <row r="13" spans="1:9" x14ac:dyDescent="0.2">
      <c r="A13" s="36" t="s">
        <v>24</v>
      </c>
      <c r="B13" s="43" t="s">
        <v>79</v>
      </c>
      <c r="C13" s="43" t="s">
        <v>79</v>
      </c>
      <c r="D13" s="43" t="s">
        <v>79</v>
      </c>
      <c r="E13" s="43">
        <v>522204.39999999997</v>
      </c>
      <c r="F13" s="43">
        <v>339687.1</v>
      </c>
      <c r="G13" s="43">
        <v>313017.15999999997</v>
      </c>
      <c r="H13" s="43">
        <v>533879.61</v>
      </c>
      <c r="I13" s="43">
        <v>463730.95999999979</v>
      </c>
    </row>
    <row r="14" spans="1:9" x14ac:dyDescent="0.2">
      <c r="A14" s="36" t="s">
        <v>5</v>
      </c>
      <c r="B14" s="43" t="s">
        <v>79</v>
      </c>
      <c r="C14" s="43" t="s">
        <v>79</v>
      </c>
      <c r="D14" s="43" t="s">
        <v>79</v>
      </c>
      <c r="E14" s="43">
        <v>168065.87999999998</v>
      </c>
      <c r="F14" s="43">
        <v>217670.77000000002</v>
      </c>
      <c r="G14" s="43">
        <v>206338.03999999998</v>
      </c>
      <c r="H14" s="43">
        <v>213358.55</v>
      </c>
      <c r="I14" s="43">
        <v>265742.47999999992</v>
      </c>
    </row>
    <row r="15" spans="1:9" x14ac:dyDescent="0.2">
      <c r="A15" s="36" t="s">
        <v>6</v>
      </c>
      <c r="B15" s="43" t="s">
        <v>79</v>
      </c>
      <c r="C15" s="43" t="s">
        <v>79</v>
      </c>
      <c r="D15" s="43" t="s">
        <v>79</v>
      </c>
      <c r="E15" s="43">
        <v>180874.5900000002</v>
      </c>
      <c r="F15" s="43">
        <v>223937.74000000008</v>
      </c>
      <c r="G15" s="43">
        <v>251636.09000000008</v>
      </c>
      <c r="H15" s="43">
        <v>202088.78000000003</v>
      </c>
      <c r="I15" s="43">
        <v>238633.90999999983</v>
      </c>
    </row>
    <row r="16" spans="1:9" x14ac:dyDescent="0.2">
      <c r="A16" s="36" t="s">
        <v>4</v>
      </c>
      <c r="B16" s="43" t="s">
        <v>79</v>
      </c>
      <c r="C16" s="43" t="s">
        <v>79</v>
      </c>
      <c r="D16" s="43" t="s">
        <v>79</v>
      </c>
      <c r="E16" s="43">
        <v>66748.459999999992</v>
      </c>
      <c r="F16" s="43">
        <v>80493.010000000009</v>
      </c>
      <c r="G16" s="43">
        <v>62415.33</v>
      </c>
      <c r="H16" s="43">
        <v>69707.100000000006</v>
      </c>
      <c r="I16" s="43">
        <v>54729.849999999991</v>
      </c>
    </row>
    <row r="17" spans="1:9" x14ac:dyDescent="0.2">
      <c r="A17" s="36" t="s">
        <v>27</v>
      </c>
      <c r="B17" s="43" t="s">
        <v>79</v>
      </c>
      <c r="C17" s="43" t="s">
        <v>79</v>
      </c>
      <c r="D17" s="43" t="s">
        <v>79</v>
      </c>
      <c r="E17" s="43">
        <v>96780.020000000019</v>
      </c>
      <c r="F17" s="43">
        <v>43215.180000000022</v>
      </c>
      <c r="G17" s="43">
        <v>40694.949999999997</v>
      </c>
      <c r="H17" s="43">
        <v>46932.039999999994</v>
      </c>
      <c r="I17" s="43">
        <v>44014.54</v>
      </c>
    </row>
    <row r="18" spans="1:9" x14ac:dyDescent="0.2">
      <c r="A18" s="36" t="s">
        <v>26</v>
      </c>
      <c r="B18" s="43" t="s">
        <v>79</v>
      </c>
      <c r="C18" s="43" t="s">
        <v>79</v>
      </c>
      <c r="D18" s="43" t="s">
        <v>79</v>
      </c>
      <c r="E18" s="43">
        <v>82852.769999999975</v>
      </c>
      <c r="F18" s="43">
        <v>64724.72</v>
      </c>
      <c r="G18" s="43">
        <v>37304.840000000004</v>
      </c>
      <c r="H18" s="43">
        <v>28450.079999999998</v>
      </c>
      <c r="I18" s="43">
        <v>26350.490000000053</v>
      </c>
    </row>
    <row r="19" spans="1:9" x14ac:dyDescent="0.2">
      <c r="A19" s="36" t="s">
        <v>28</v>
      </c>
      <c r="B19" s="43" t="s">
        <v>79</v>
      </c>
      <c r="C19" s="43" t="s">
        <v>79</v>
      </c>
      <c r="D19" s="43" t="s">
        <v>79</v>
      </c>
      <c r="E19" s="43">
        <v>11594.08</v>
      </c>
      <c r="F19" s="43">
        <v>10657.509999999998</v>
      </c>
      <c r="G19" s="43">
        <v>5033.83</v>
      </c>
      <c r="H19" s="43">
        <v>2580.06</v>
      </c>
      <c r="I19" s="43">
        <v>4784.0600000000004</v>
      </c>
    </row>
    <row r="20" spans="1:9" x14ac:dyDescent="0.2">
      <c r="A20" s="36" t="s">
        <v>29</v>
      </c>
      <c r="B20" s="43" t="s">
        <v>79</v>
      </c>
      <c r="C20" s="43" t="s">
        <v>79</v>
      </c>
      <c r="D20" s="43" t="s">
        <v>79</v>
      </c>
      <c r="E20" s="43">
        <v>13890.51</v>
      </c>
      <c r="F20" s="43">
        <v>5244.06</v>
      </c>
      <c r="G20" s="43">
        <v>2522</v>
      </c>
      <c r="H20" s="43">
        <v>1716.6799999999998</v>
      </c>
      <c r="I20" s="43">
        <v>2539.2699999999995</v>
      </c>
    </row>
    <row r="21" spans="1:9" x14ac:dyDescent="0.2">
      <c r="A21" s="36" t="s">
        <v>25</v>
      </c>
      <c r="B21" s="43" t="s">
        <v>79</v>
      </c>
      <c r="C21" s="43" t="s">
        <v>79</v>
      </c>
      <c r="D21" s="43" t="s">
        <v>79</v>
      </c>
      <c r="E21" s="43">
        <v>5498.78</v>
      </c>
      <c r="F21" s="43">
        <v>3981.12</v>
      </c>
      <c r="G21" s="43">
        <v>4392.92</v>
      </c>
      <c r="H21" s="43">
        <v>2401.09</v>
      </c>
      <c r="I21" s="43">
        <v>2537.06</v>
      </c>
    </row>
    <row r="22" spans="1:9" x14ac:dyDescent="0.2">
      <c r="A22" s="36" t="s">
        <v>21</v>
      </c>
      <c r="B22" s="43" t="s">
        <v>79</v>
      </c>
      <c r="C22" s="43" t="s">
        <v>79</v>
      </c>
      <c r="D22" s="43" t="s">
        <v>79</v>
      </c>
      <c r="E22" s="43">
        <v>6874.7599999999993</v>
      </c>
      <c r="F22" s="43">
        <v>3654.3599999999988</v>
      </c>
      <c r="G22" s="43">
        <v>1807.31</v>
      </c>
      <c r="H22" s="43">
        <v>1288.42</v>
      </c>
      <c r="I22" s="43">
        <v>826.71</v>
      </c>
    </row>
    <row r="23" spans="1:9" x14ac:dyDescent="0.2">
      <c r="A23" s="36" t="s">
        <v>83</v>
      </c>
      <c r="B23" s="43" t="s">
        <v>79</v>
      </c>
      <c r="C23" s="43" t="s">
        <v>79</v>
      </c>
      <c r="D23" s="43" t="s">
        <v>79</v>
      </c>
      <c r="E23" s="43">
        <v>20.420000000000002</v>
      </c>
      <c r="F23" s="43">
        <v>8.5</v>
      </c>
      <c r="G23" s="43">
        <v>61.36</v>
      </c>
      <c r="H23" s="43">
        <v>57.089999999999989</v>
      </c>
      <c r="I23" s="43">
        <v>46.3</v>
      </c>
    </row>
    <row r="24" spans="1:9" s="4" customFormat="1" x14ac:dyDescent="0.2">
      <c r="A24" s="26" t="s">
        <v>3</v>
      </c>
      <c r="B24" s="44" t="s">
        <v>79</v>
      </c>
      <c r="C24" s="44" t="s">
        <v>79</v>
      </c>
      <c r="D24" s="44" t="s">
        <v>79</v>
      </c>
      <c r="E24" s="44">
        <v>5312825.2600000026</v>
      </c>
      <c r="F24" s="44">
        <v>4221483.5100000007</v>
      </c>
      <c r="G24" s="44">
        <v>3792992.5500000007</v>
      </c>
      <c r="H24" s="44">
        <v>4320978.3899999997</v>
      </c>
      <c r="I24" s="44">
        <v>4951469.1500000153</v>
      </c>
    </row>
    <row r="25" spans="1:9" x14ac:dyDescent="0.2">
      <c r="B25" s="34"/>
      <c r="C25" s="34"/>
      <c r="D25" s="34"/>
      <c r="E25" s="34"/>
    </row>
    <row r="26" spans="1:9" x14ac:dyDescent="0.2">
      <c r="A26" s="4" t="s">
        <v>36</v>
      </c>
    </row>
    <row r="27" spans="1:9" ht="3" customHeight="1" x14ac:dyDescent="0.2">
      <c r="A27" s="4"/>
    </row>
    <row r="28" spans="1:9" x14ac:dyDescent="0.2">
      <c r="A28" s="1" t="s">
        <v>80</v>
      </c>
      <c r="B28" s="48">
        <v>2017</v>
      </c>
      <c r="C28" s="48">
        <v>2018</v>
      </c>
      <c r="D28" s="48">
        <v>2019</v>
      </c>
      <c r="E28" s="48">
        <v>2020</v>
      </c>
      <c r="F28" s="48">
        <v>2021</v>
      </c>
      <c r="G28" s="27">
        <v>2022</v>
      </c>
      <c r="H28" s="27">
        <v>2023</v>
      </c>
      <c r="I28" s="27">
        <v>2024</v>
      </c>
    </row>
    <row r="29" spans="1:9" x14ac:dyDescent="0.2">
      <c r="A29" s="36" t="s">
        <v>86</v>
      </c>
      <c r="B29" s="43" t="s">
        <v>79</v>
      </c>
      <c r="C29" s="43" t="s">
        <v>79</v>
      </c>
      <c r="D29" s="43" t="s">
        <v>79</v>
      </c>
      <c r="E29" s="47">
        <v>25.316394749999994</v>
      </c>
      <c r="F29" s="47">
        <v>28.25025788000001</v>
      </c>
      <c r="G29" s="47">
        <v>25.754390789999999</v>
      </c>
      <c r="H29" s="47">
        <v>22.546244420000022</v>
      </c>
      <c r="I29" s="47">
        <v>27.976717369999996</v>
      </c>
    </row>
    <row r="30" spans="1:9" x14ac:dyDescent="0.2">
      <c r="A30" s="36" t="s">
        <v>22</v>
      </c>
      <c r="B30" s="43" t="s">
        <v>79</v>
      </c>
      <c r="C30" s="43" t="s">
        <v>79</v>
      </c>
      <c r="D30" s="43" t="s">
        <v>79</v>
      </c>
      <c r="E30" s="47">
        <v>22.832059969999996</v>
      </c>
      <c r="F30" s="47">
        <v>15.025264639999989</v>
      </c>
      <c r="G30" s="47">
        <v>17.267949490000003</v>
      </c>
      <c r="H30" s="47">
        <v>19.245984480000001</v>
      </c>
      <c r="I30" s="47">
        <v>24.270379200000008</v>
      </c>
    </row>
    <row r="31" spans="1:9" x14ac:dyDescent="0.2">
      <c r="A31" s="36" t="s">
        <v>23</v>
      </c>
      <c r="B31" s="43" t="s">
        <v>79</v>
      </c>
      <c r="C31" s="43" t="s">
        <v>79</v>
      </c>
      <c r="D31" s="43" t="s">
        <v>79</v>
      </c>
      <c r="E31" s="47">
        <v>12.283915780000003</v>
      </c>
      <c r="F31" s="47">
        <v>15.120232389999995</v>
      </c>
      <c r="G31" s="47">
        <v>16.571632600000001</v>
      </c>
      <c r="H31" s="47">
        <v>37.640642400000004</v>
      </c>
      <c r="I31" s="47">
        <v>17.759051460000045</v>
      </c>
    </row>
    <row r="32" spans="1:9" x14ac:dyDescent="0.2">
      <c r="A32" s="36" t="s">
        <v>6</v>
      </c>
      <c r="B32" s="43" t="s">
        <v>79</v>
      </c>
      <c r="C32" s="43" t="s">
        <v>79</v>
      </c>
      <c r="D32" s="43" t="s">
        <v>79</v>
      </c>
      <c r="E32" s="47">
        <v>6.657360670000001</v>
      </c>
      <c r="F32" s="47">
        <v>8.3908847099999999</v>
      </c>
      <c r="G32" s="47">
        <v>9.9950996599999993</v>
      </c>
      <c r="H32" s="47">
        <v>8.1076462500000002</v>
      </c>
      <c r="I32" s="47">
        <v>9.8773710600000015</v>
      </c>
    </row>
    <row r="33" spans="1:9" x14ac:dyDescent="0.2">
      <c r="A33" s="36" t="s">
        <v>82</v>
      </c>
      <c r="B33" s="43" t="s">
        <v>79</v>
      </c>
      <c r="C33" s="43" t="s">
        <v>79</v>
      </c>
      <c r="D33" s="43" t="s">
        <v>79</v>
      </c>
      <c r="E33" s="47">
        <v>20.612609419999998</v>
      </c>
      <c r="F33" s="47">
        <v>14.968101370000008</v>
      </c>
      <c r="G33" s="47">
        <v>11.980250710000005</v>
      </c>
      <c r="H33" s="47">
        <v>7.2482509399999984</v>
      </c>
      <c r="I33" s="47">
        <v>7.2945306899999922</v>
      </c>
    </row>
    <row r="34" spans="1:9" x14ac:dyDescent="0.2">
      <c r="A34" s="36" t="s">
        <v>24</v>
      </c>
      <c r="B34" s="43" t="s">
        <v>79</v>
      </c>
      <c r="C34" s="43" t="s">
        <v>79</v>
      </c>
      <c r="D34" s="43" t="s">
        <v>79</v>
      </c>
      <c r="E34" s="47">
        <v>4.6184688599999992</v>
      </c>
      <c r="F34" s="47">
        <v>4.82101662</v>
      </c>
      <c r="G34" s="47">
        <v>5.0054702000000013</v>
      </c>
      <c r="H34" s="47">
        <v>17.54077662000001</v>
      </c>
      <c r="I34" s="47">
        <v>6.5898419000000015</v>
      </c>
    </row>
    <row r="35" spans="1:9" x14ac:dyDescent="0.2">
      <c r="A35" s="36" t="s">
        <v>5</v>
      </c>
      <c r="B35" s="43" t="s">
        <v>79</v>
      </c>
      <c r="C35" s="43" t="s">
        <v>79</v>
      </c>
      <c r="D35" s="43" t="s">
        <v>79</v>
      </c>
      <c r="E35" s="47">
        <v>2.9833109599999998</v>
      </c>
      <c r="F35" s="47">
        <v>6.0484496699999983</v>
      </c>
      <c r="G35" s="47">
        <v>5.5301311899999988</v>
      </c>
      <c r="H35" s="47">
        <v>5.8612434899999997</v>
      </c>
      <c r="I35" s="47">
        <v>4.4611190499999998</v>
      </c>
    </row>
    <row r="36" spans="1:9" x14ac:dyDescent="0.2">
      <c r="A36" s="36" t="s">
        <v>4</v>
      </c>
      <c r="B36" s="43" t="s">
        <v>79</v>
      </c>
      <c r="C36" s="43" t="s">
        <v>79</v>
      </c>
      <c r="D36" s="43" t="s">
        <v>79</v>
      </c>
      <c r="E36" s="47">
        <v>0.99987934000000012</v>
      </c>
      <c r="F36" s="47">
        <v>1.2854139199999999</v>
      </c>
      <c r="G36" s="47">
        <v>1.1202498899999997</v>
      </c>
      <c r="H36" s="47">
        <v>1.83239229</v>
      </c>
      <c r="I36" s="47">
        <v>1.5768669500000001</v>
      </c>
    </row>
    <row r="37" spans="1:9" x14ac:dyDescent="0.2">
      <c r="A37" s="36" t="s">
        <v>27</v>
      </c>
      <c r="B37" s="43" t="s">
        <v>79</v>
      </c>
      <c r="C37" s="43" t="s">
        <v>79</v>
      </c>
      <c r="D37" s="43" t="s">
        <v>79</v>
      </c>
      <c r="E37" s="47">
        <v>3.9941394199999976</v>
      </c>
      <c r="F37" s="47">
        <v>1.6182106099999991</v>
      </c>
      <c r="G37" s="47">
        <v>1.1432008099999997</v>
      </c>
      <c r="H37" s="47">
        <v>1.4192052800000001</v>
      </c>
      <c r="I37" s="47">
        <v>1.2726808600000004</v>
      </c>
    </row>
    <row r="38" spans="1:9" x14ac:dyDescent="0.2">
      <c r="A38" s="36" t="s">
        <v>26</v>
      </c>
      <c r="B38" s="43" t="s">
        <v>79</v>
      </c>
      <c r="C38" s="43" t="s">
        <v>79</v>
      </c>
      <c r="D38" s="43" t="s">
        <v>79</v>
      </c>
      <c r="E38" s="47">
        <v>0.41469201000000006</v>
      </c>
      <c r="F38" s="47">
        <v>0.49692791000000019</v>
      </c>
      <c r="G38" s="47">
        <v>0.21481916999999995</v>
      </c>
      <c r="H38" s="47">
        <v>0.17655582000000003</v>
      </c>
      <c r="I38" s="47">
        <v>0.12690512000000004</v>
      </c>
    </row>
    <row r="39" spans="1:9" x14ac:dyDescent="0.2">
      <c r="A39" s="36" t="s">
        <v>28</v>
      </c>
      <c r="B39" s="43" t="s">
        <v>79</v>
      </c>
      <c r="C39" s="43" t="s">
        <v>79</v>
      </c>
      <c r="D39" s="43" t="s">
        <v>79</v>
      </c>
      <c r="E39" s="47">
        <v>6.4042509999999997E-2</v>
      </c>
      <c r="F39" s="47">
        <v>8.1440990000000005E-2</v>
      </c>
      <c r="G39" s="47">
        <v>6.4032930000000002E-2</v>
      </c>
      <c r="H39" s="47">
        <v>2.982514E-2</v>
      </c>
      <c r="I39" s="47">
        <v>0.12690512000000004</v>
      </c>
    </row>
    <row r="40" spans="1:9" x14ac:dyDescent="0.2">
      <c r="A40" s="36" t="s">
        <v>25</v>
      </c>
      <c r="B40" s="43" t="s">
        <v>79</v>
      </c>
      <c r="C40" s="43" t="s">
        <v>79</v>
      </c>
      <c r="D40" s="43" t="s">
        <v>79</v>
      </c>
      <c r="E40" s="47">
        <v>0.10882259999999999</v>
      </c>
      <c r="F40" s="47">
        <v>7.1136020000000022E-2</v>
      </c>
      <c r="G40" s="47">
        <v>0.14846922999999998</v>
      </c>
      <c r="H40" s="47">
        <v>6.103660000000001E-2</v>
      </c>
      <c r="I40" s="47">
        <v>4.2039850000000004E-2</v>
      </c>
    </row>
    <row r="41" spans="1:9" x14ac:dyDescent="0.2">
      <c r="A41" s="36" t="s">
        <v>29</v>
      </c>
      <c r="B41" s="43" t="s">
        <v>79</v>
      </c>
      <c r="C41" s="43" t="s">
        <v>79</v>
      </c>
      <c r="D41" s="43" t="s">
        <v>79</v>
      </c>
      <c r="E41" s="47">
        <v>6.7364500000000015E-3</v>
      </c>
      <c r="F41" s="47">
        <v>3.7803899999999998E-3</v>
      </c>
      <c r="G41" s="47">
        <v>4.3658000000000013E-3</v>
      </c>
      <c r="H41" s="47">
        <v>4.074089999999999E-3</v>
      </c>
      <c r="I41" s="47">
        <v>5.9336499999999995E-3</v>
      </c>
    </row>
    <row r="42" spans="1:9" x14ac:dyDescent="0.2">
      <c r="A42" s="36" t="s">
        <v>83</v>
      </c>
      <c r="B42" s="43" t="s">
        <v>79</v>
      </c>
      <c r="C42" s="43" t="s">
        <v>79</v>
      </c>
      <c r="D42" s="43" t="s">
        <v>79</v>
      </c>
      <c r="E42" s="47">
        <v>7.6570000000000007E-5</v>
      </c>
      <c r="F42" s="47">
        <v>1.166E-5</v>
      </c>
      <c r="G42" s="47">
        <v>1.82559E-3</v>
      </c>
      <c r="H42" s="47">
        <v>1.0147700000000001E-3</v>
      </c>
      <c r="I42" s="47">
        <v>1.1557999999999998E-3</v>
      </c>
    </row>
    <row r="43" spans="1:9" x14ac:dyDescent="0.2">
      <c r="A43" s="26" t="s">
        <v>3</v>
      </c>
      <c r="B43" s="44" t="s">
        <v>79</v>
      </c>
      <c r="C43" s="44" t="s">
        <v>79</v>
      </c>
      <c r="D43" s="44" t="s">
        <v>79</v>
      </c>
      <c r="E43" s="46">
        <v>101.0228305</v>
      </c>
      <c r="F43" s="46">
        <v>96.231852509999996</v>
      </c>
      <c r="G43" s="46">
        <v>94.828854700000022</v>
      </c>
      <c r="H43" s="46">
        <v>121.75762441000005</v>
      </c>
      <c r="I43" s="46">
        <v>101.34240301000006</v>
      </c>
    </row>
    <row r="44" spans="1:9" x14ac:dyDescent="0.2">
      <c r="A44" s="4"/>
    </row>
    <row r="45" spans="1:9" x14ac:dyDescent="0.2">
      <c r="A45" s="4" t="s">
        <v>35</v>
      </c>
    </row>
    <row r="46" spans="1:9" ht="3" customHeight="1" x14ac:dyDescent="0.2">
      <c r="A46" s="4"/>
    </row>
    <row r="47" spans="1:9" x14ac:dyDescent="0.2">
      <c r="A47" s="1"/>
      <c r="B47" s="27">
        <v>2017</v>
      </c>
      <c r="C47" s="27">
        <v>2018</v>
      </c>
      <c r="D47" s="27">
        <v>2019</v>
      </c>
      <c r="E47" s="27">
        <v>2020</v>
      </c>
      <c r="F47" s="27">
        <v>2021</v>
      </c>
      <c r="G47" s="27">
        <v>2022</v>
      </c>
      <c r="H47" s="27">
        <v>2023</v>
      </c>
      <c r="I47" s="27">
        <v>2024</v>
      </c>
    </row>
    <row r="48" spans="1:9" x14ac:dyDescent="0.2">
      <c r="A48" s="36" t="s">
        <v>86</v>
      </c>
      <c r="B48" s="43" t="s">
        <v>79</v>
      </c>
      <c r="C48" s="43" t="s">
        <v>79</v>
      </c>
      <c r="D48" s="43" t="s">
        <v>79</v>
      </c>
      <c r="E48" s="21">
        <f t="shared" ref="E48:E56" si="0">E29/E$43*100</f>
        <v>25.060072683273305</v>
      </c>
      <c r="F48" s="21">
        <f t="shared" ref="F48:I48" si="1">F29/F$43*100</f>
        <v>29.356452300514913</v>
      </c>
      <c r="G48" s="21">
        <f t="shared" si="1"/>
        <v>27.158812443191927</v>
      </c>
      <c r="H48" s="21">
        <f t="shared" si="1"/>
        <v>18.517316290665313</v>
      </c>
      <c r="I48" s="21">
        <f t="shared" si="1"/>
        <v>27.606131825430829</v>
      </c>
    </row>
    <row r="49" spans="1:9" x14ac:dyDescent="0.2">
      <c r="A49" s="36" t="s">
        <v>22</v>
      </c>
      <c r="B49" s="43" t="s">
        <v>79</v>
      </c>
      <c r="C49" s="43" t="s">
        <v>79</v>
      </c>
      <c r="D49" s="43" t="s">
        <v>79</v>
      </c>
      <c r="E49" s="21">
        <f t="shared" si="0"/>
        <v>22.600891161924032</v>
      </c>
      <c r="F49" s="21">
        <f t="shared" ref="F49:I50" si="2">F30/F$43*100</f>
        <v>15.613608434316101</v>
      </c>
      <c r="G49" s="21">
        <f t="shared" si="2"/>
        <v>18.209594057240047</v>
      </c>
      <c r="H49" s="21">
        <f t="shared" si="2"/>
        <v>15.80680025030064</v>
      </c>
      <c r="I49" s="21">
        <f t="shared" si="2"/>
        <v>23.948888598590962</v>
      </c>
    </row>
    <row r="50" spans="1:9" x14ac:dyDescent="0.2">
      <c r="A50" s="36" t="s">
        <v>23</v>
      </c>
      <c r="B50" s="43" t="s">
        <v>79</v>
      </c>
      <c r="C50" s="43" t="s">
        <v>79</v>
      </c>
      <c r="D50" s="43" t="s">
        <v>79</v>
      </c>
      <c r="E50" s="21">
        <f t="shared" si="0"/>
        <v>12.159544252722164</v>
      </c>
      <c r="F50" s="21">
        <f t="shared" si="2"/>
        <v>15.712294833385615</v>
      </c>
      <c r="G50" s="21">
        <f t="shared" si="2"/>
        <v>17.475306068417588</v>
      </c>
      <c r="H50" s="21">
        <f t="shared" si="2"/>
        <v>30.914402759083849</v>
      </c>
      <c r="I50" s="21">
        <f t="shared" si="2"/>
        <v>17.523811289779317</v>
      </c>
    </row>
    <row r="51" spans="1:9" x14ac:dyDescent="0.2">
      <c r="A51" s="36" t="s">
        <v>6</v>
      </c>
      <c r="B51" s="43" t="s">
        <v>79</v>
      </c>
      <c r="C51" s="43" t="s">
        <v>79</v>
      </c>
      <c r="D51" s="43" t="s">
        <v>79</v>
      </c>
      <c r="E51" s="21">
        <f t="shared" si="0"/>
        <v>6.5899565841208556</v>
      </c>
      <c r="F51" s="21">
        <f t="shared" ref="F51:I51" si="3">F32/F$43*100</f>
        <v>8.7194463071653487</v>
      </c>
      <c r="G51" s="21">
        <f t="shared" si="3"/>
        <v>10.54014592037459</v>
      </c>
      <c r="H51" s="21">
        <f t="shared" si="3"/>
        <v>6.6588407003562669</v>
      </c>
      <c r="I51" s="21">
        <f t="shared" si="3"/>
        <v>9.7465333035623232</v>
      </c>
    </row>
    <row r="52" spans="1:9" x14ac:dyDescent="0.2">
      <c r="A52" s="36" t="s">
        <v>82</v>
      </c>
      <c r="B52" s="43" t="s">
        <v>79</v>
      </c>
      <c r="C52" s="43" t="s">
        <v>79</v>
      </c>
      <c r="D52" s="43" t="s">
        <v>79</v>
      </c>
      <c r="E52" s="21">
        <f t="shared" si="0"/>
        <v>20.403911985024017</v>
      </c>
      <c r="F52" s="21">
        <f t="shared" ref="F52:I52" si="4">F33/F$43*100</f>
        <v>15.554206824029068</v>
      </c>
      <c r="G52" s="21">
        <f t="shared" si="4"/>
        <v>12.633549933615305</v>
      </c>
      <c r="H52" s="21">
        <f t="shared" si="4"/>
        <v>5.9530160637765315</v>
      </c>
      <c r="I52" s="21">
        <f t="shared" si="4"/>
        <v>7.1979057860708098</v>
      </c>
    </row>
    <row r="53" spans="1:9" x14ac:dyDescent="0.2">
      <c r="A53" s="36" t="s">
        <v>24</v>
      </c>
      <c r="B53" s="43" t="s">
        <v>79</v>
      </c>
      <c r="C53" s="43" t="s">
        <v>79</v>
      </c>
      <c r="D53" s="43" t="s">
        <v>79</v>
      </c>
      <c r="E53" s="21">
        <f t="shared" si="0"/>
        <v>4.5717080358384923</v>
      </c>
      <c r="F53" s="21">
        <f>F34/F$43*100</f>
        <v>5.0097930095433014</v>
      </c>
      <c r="G53" s="21">
        <f>G34/G$43*100</f>
        <v>5.2784252386420523</v>
      </c>
      <c r="H53" s="21">
        <f>H34/H$43*100</f>
        <v>14.406306549587519</v>
      </c>
      <c r="I53" s="21">
        <f>I34/I$43*100</f>
        <v>6.502551453560601</v>
      </c>
    </row>
    <row r="54" spans="1:9" x14ac:dyDescent="0.2">
      <c r="A54" s="36" t="s">
        <v>5</v>
      </c>
      <c r="B54" s="43" t="s">
        <v>79</v>
      </c>
      <c r="C54" s="43" t="s">
        <v>79</v>
      </c>
      <c r="D54" s="43" t="s">
        <v>79</v>
      </c>
      <c r="E54" s="21">
        <f t="shared" si="0"/>
        <v>2.9531056942618528</v>
      </c>
      <c r="F54" s="21">
        <f t="shared" ref="F54:I54" si="5">F35/F$43*100</f>
        <v>6.2852886151926359</v>
      </c>
      <c r="G54" s="21">
        <f t="shared" si="5"/>
        <v>5.831696699802067</v>
      </c>
      <c r="H54" s="21">
        <f t="shared" si="5"/>
        <v>4.8138615699852725</v>
      </c>
      <c r="I54" s="21">
        <f t="shared" si="5"/>
        <v>4.4020261188791769</v>
      </c>
    </row>
    <row r="55" spans="1:9" x14ac:dyDescent="0.2">
      <c r="A55" s="36" t="s">
        <v>4</v>
      </c>
      <c r="B55" s="43" t="s">
        <v>79</v>
      </c>
      <c r="C55" s="43" t="s">
        <v>79</v>
      </c>
      <c r="D55" s="43" t="s">
        <v>79</v>
      </c>
      <c r="E55" s="21">
        <f t="shared" si="0"/>
        <v>0.98975581564208914</v>
      </c>
      <c r="F55" s="21">
        <f t="shared" ref="F55:I55" si="6">F36/F$43*100</f>
        <v>1.3357468306727496</v>
      </c>
      <c r="G55" s="21">
        <f t="shared" si="6"/>
        <v>1.1813386268810431</v>
      </c>
      <c r="H55" s="21">
        <f t="shared" si="6"/>
        <v>1.504950756783576</v>
      </c>
      <c r="I55" s="21">
        <f t="shared" si="6"/>
        <v>1.5559794352265373</v>
      </c>
    </row>
    <row r="56" spans="1:9" x14ac:dyDescent="0.2">
      <c r="A56" s="36" t="s">
        <v>27</v>
      </c>
      <c r="B56" s="43" t="s">
        <v>79</v>
      </c>
      <c r="C56" s="43" t="s">
        <v>79</v>
      </c>
      <c r="D56" s="43" t="s">
        <v>79</v>
      </c>
      <c r="E56" s="21">
        <f t="shared" si="0"/>
        <v>3.9536997728449088</v>
      </c>
      <c r="F56" s="21">
        <f t="shared" ref="F56:I56" si="7">F37/F$43*100</f>
        <v>1.6815748297392921</v>
      </c>
      <c r="G56" s="21">
        <f t="shared" si="7"/>
        <v>1.2055410914922708</v>
      </c>
      <c r="H56" s="21">
        <f t="shared" si="7"/>
        <v>1.1655986940259651</v>
      </c>
      <c r="I56" s="21">
        <f t="shared" si="7"/>
        <v>1.2558226588276356</v>
      </c>
    </row>
    <row r="57" spans="1:9" x14ac:dyDescent="0.2">
      <c r="A57" s="36" t="s">
        <v>28</v>
      </c>
      <c r="B57" s="43" t="s">
        <v>79</v>
      </c>
      <c r="C57" s="43" t="s">
        <v>79</v>
      </c>
      <c r="D57" s="43" t="s">
        <v>79</v>
      </c>
      <c r="E57" s="21">
        <f>E39/$E$43*100</f>
        <v>6.3394095852422186E-2</v>
      </c>
      <c r="F57" s="21">
        <f t="shared" ref="F57:I57" si="8">F39/$E$43*100</f>
        <v>8.0616420661466223E-2</v>
      </c>
      <c r="G57" s="21">
        <f t="shared" si="8"/>
        <v>6.3384612847488961E-2</v>
      </c>
      <c r="H57" s="21">
        <f t="shared" si="8"/>
        <v>2.9523168032794332E-2</v>
      </c>
      <c r="I57" s="21">
        <f t="shared" si="8"/>
        <v>0.12562023789266136</v>
      </c>
    </row>
    <row r="58" spans="1:9" x14ac:dyDescent="0.2">
      <c r="A58" s="36" t="s">
        <v>26</v>
      </c>
      <c r="B58" s="43" t="s">
        <v>79</v>
      </c>
      <c r="C58" s="43" t="s">
        <v>79</v>
      </c>
      <c r="D58" s="43" t="s">
        <v>79</v>
      </c>
      <c r="E58" s="21">
        <f>E38/$E$43*100</f>
        <v>0.4104933587264713</v>
      </c>
      <c r="F58" s="21">
        <f t="shared" ref="F58:I58" si="9">F38/$E$43*100</f>
        <v>0.49189664112608705</v>
      </c>
      <c r="G58" s="21">
        <f t="shared" si="9"/>
        <v>0.21264418046572151</v>
      </c>
      <c r="H58" s="21">
        <f t="shared" si="9"/>
        <v>0.17476823716595433</v>
      </c>
      <c r="I58" s="21">
        <f t="shared" si="9"/>
        <v>0.12562023789266136</v>
      </c>
    </row>
    <row r="59" spans="1:9" x14ac:dyDescent="0.2">
      <c r="A59" s="36" t="s">
        <v>25</v>
      </c>
      <c r="B59" s="43" t="s">
        <v>79</v>
      </c>
      <c r="C59" s="43" t="s">
        <v>79</v>
      </c>
      <c r="D59" s="43" t="s">
        <v>79</v>
      </c>
      <c r="E59" s="21">
        <f>E40/E$43*100</f>
        <v>0.10772079881487778</v>
      </c>
      <c r="F59" s="21">
        <f t="shared" ref="F59:I59" si="10">F40/F$43*100</f>
        <v>7.3921490800156711E-2</v>
      </c>
      <c r="G59" s="21">
        <f t="shared" si="10"/>
        <v>0.15656545728586127</v>
      </c>
      <c r="H59" s="21">
        <f t="shared" si="10"/>
        <v>5.0129591716136533E-2</v>
      </c>
      <c r="I59" s="21">
        <f t="shared" si="10"/>
        <v>4.1482981211578021E-2</v>
      </c>
    </row>
    <row r="60" spans="1:9" x14ac:dyDescent="0.2">
      <c r="A60" s="36" t="s">
        <v>29</v>
      </c>
      <c r="B60" s="43" t="s">
        <v>79</v>
      </c>
      <c r="C60" s="43" t="s">
        <v>79</v>
      </c>
      <c r="D60" s="43" t="s">
        <v>79</v>
      </c>
      <c r="E60" s="21">
        <f>E41/E$43*100</f>
        <v>6.6682451547425232E-3</v>
      </c>
      <c r="F60" s="21">
        <f t="shared" ref="F60:I60" si="11">F41/F$43*100</f>
        <v>3.9284186071417027E-3</v>
      </c>
      <c r="G60" s="21">
        <f t="shared" si="11"/>
        <v>4.6038729601993187E-3</v>
      </c>
      <c r="H60" s="21">
        <f t="shared" si="11"/>
        <v>3.3460656116951889E-3</v>
      </c>
      <c r="I60" s="21">
        <f t="shared" si="11"/>
        <v>5.8550516109377145E-3</v>
      </c>
    </row>
    <row r="61" spans="1:9" x14ac:dyDescent="0.2">
      <c r="A61" s="36" t="s">
        <v>83</v>
      </c>
      <c r="B61" s="43" t="s">
        <v>79</v>
      </c>
      <c r="C61" s="43" t="s">
        <v>79</v>
      </c>
      <c r="D61" s="43" t="s">
        <v>79</v>
      </c>
      <c r="E61" s="21">
        <f>E42/E$43*100</f>
        <v>7.5794748198032338E-5</v>
      </c>
      <c r="F61" s="21">
        <f t="shared" ref="F61:I61" si="12">F42/F$43*100</f>
        <v>1.211657023726977E-5</v>
      </c>
      <c r="G61" s="21">
        <f t="shared" si="12"/>
        <v>1.9251418840556759E-3</v>
      </c>
      <c r="H61" s="21">
        <f t="shared" si="12"/>
        <v>8.3343446040218272E-4</v>
      </c>
      <c r="I61" s="21">
        <f t="shared" si="12"/>
        <v>1.1404900275415319E-3</v>
      </c>
    </row>
    <row r="62" spans="1:9" x14ac:dyDescent="0.2">
      <c r="A62" s="26" t="s">
        <v>3</v>
      </c>
      <c r="B62" s="44" t="s">
        <v>79</v>
      </c>
      <c r="C62" s="44" t="s">
        <v>79</v>
      </c>
      <c r="D62" s="44" t="s">
        <v>79</v>
      </c>
      <c r="E62" s="22">
        <f>E43/$E$43*100</f>
        <v>100</v>
      </c>
      <c r="F62" s="22">
        <f>F43/$F$43*100</f>
        <v>100</v>
      </c>
      <c r="G62" s="22">
        <f>G43/$G$43*100</f>
        <v>100</v>
      </c>
      <c r="H62" s="22">
        <f>H43/$H$43*100</f>
        <v>100</v>
      </c>
      <c r="I62" s="22">
        <f>I43/$I$43*100</f>
        <v>100</v>
      </c>
    </row>
    <row r="64" spans="1:9" x14ac:dyDescent="0.2">
      <c r="A64" s="4" t="s">
        <v>34</v>
      </c>
    </row>
    <row r="65" spans="1:9" ht="3" customHeight="1" x14ac:dyDescent="0.2">
      <c r="A65" s="4"/>
    </row>
    <row r="66" spans="1:9" x14ac:dyDescent="0.2">
      <c r="A66" s="1"/>
      <c r="B66" s="27">
        <v>2017</v>
      </c>
      <c r="C66" s="27">
        <v>2018</v>
      </c>
      <c r="D66" s="27">
        <v>2019</v>
      </c>
      <c r="E66" s="27">
        <v>2020</v>
      </c>
      <c r="F66" s="27">
        <v>2021</v>
      </c>
      <c r="G66" s="27">
        <v>2022</v>
      </c>
      <c r="H66" s="27">
        <v>2023</v>
      </c>
      <c r="I66" s="27">
        <v>2024</v>
      </c>
    </row>
    <row r="67" spans="1:9" x14ac:dyDescent="0.2">
      <c r="A67" s="36" t="s">
        <v>6</v>
      </c>
      <c r="B67" s="43" t="s">
        <v>79</v>
      </c>
      <c r="C67" s="43" t="s">
        <v>79</v>
      </c>
      <c r="D67" s="43" t="s">
        <v>79</v>
      </c>
      <c r="E67" s="14">
        <f>E32/E15*1000000</f>
        <v>36.806500404506757</v>
      </c>
      <c r="F67" s="14">
        <f t="shared" ref="F67:I67" si="13">F32/F15*1000000</f>
        <v>37.469721316290844</v>
      </c>
      <c r="G67" s="14">
        <f t="shared" si="13"/>
        <v>39.720453691678316</v>
      </c>
      <c r="H67" s="14">
        <f t="shared" si="13"/>
        <v>40.119230023556973</v>
      </c>
      <c r="I67" s="14">
        <f t="shared" si="13"/>
        <v>41.391313832975406</v>
      </c>
    </row>
    <row r="68" spans="1:9" x14ac:dyDescent="0.2">
      <c r="A68" s="36" t="s">
        <v>27</v>
      </c>
      <c r="B68" s="43" t="s">
        <v>79</v>
      </c>
      <c r="C68" s="43" t="s">
        <v>79</v>
      </c>
      <c r="D68" s="43" t="s">
        <v>79</v>
      </c>
      <c r="E68" s="14">
        <f>E37/E17*1000000</f>
        <v>41.270289260117906</v>
      </c>
      <c r="F68" s="14">
        <f t="shared" ref="F68:I68" si="14">F37/F17*1000000</f>
        <v>37.445421030295336</v>
      </c>
      <c r="G68" s="14">
        <f t="shared" si="14"/>
        <v>28.091957601618869</v>
      </c>
      <c r="H68" s="14">
        <f t="shared" si="14"/>
        <v>30.239582170304132</v>
      </c>
      <c r="I68" s="14">
        <f t="shared" si="14"/>
        <v>28.915009903545517</v>
      </c>
    </row>
    <row r="69" spans="1:9" x14ac:dyDescent="0.2">
      <c r="A69" s="36" t="s">
        <v>4</v>
      </c>
      <c r="B69" s="43" t="s">
        <v>79</v>
      </c>
      <c r="C69" s="43" t="s">
        <v>79</v>
      </c>
      <c r="D69" s="43" t="s">
        <v>79</v>
      </c>
      <c r="E69" s="14">
        <f>E36/E16*1000000</f>
        <v>14.979811369430848</v>
      </c>
      <c r="F69" s="14">
        <f t="shared" ref="F69:I69" si="15">F36/F16*1000000</f>
        <v>15.969261430278229</v>
      </c>
      <c r="G69" s="14">
        <f t="shared" si="15"/>
        <v>17.948313178829618</v>
      </c>
      <c r="H69" s="14">
        <f t="shared" si="15"/>
        <v>26.287025138041891</v>
      </c>
      <c r="I69" s="14">
        <f t="shared" si="15"/>
        <v>28.811826635739006</v>
      </c>
    </row>
    <row r="70" spans="1:9" x14ac:dyDescent="0.2">
      <c r="A70" s="36" t="s">
        <v>86</v>
      </c>
      <c r="B70" s="43" t="s">
        <v>79</v>
      </c>
      <c r="C70" s="43" t="s">
        <v>79</v>
      </c>
      <c r="D70" s="43" t="s">
        <v>79</v>
      </c>
      <c r="E70" s="14">
        <f>E29/E10*1000000</f>
        <v>22.140613362388184</v>
      </c>
      <c r="F70" s="14">
        <f t="shared" ref="F70:I70" si="16">F29/F10*1000000</f>
        <v>28.957346177444311</v>
      </c>
      <c r="G70" s="14">
        <f t="shared" si="16"/>
        <v>34.335325224814376</v>
      </c>
      <c r="H70" s="14">
        <f t="shared" si="16"/>
        <v>26.95334615960466</v>
      </c>
      <c r="I70" s="14">
        <f t="shared" si="16"/>
        <v>26.878403705481389</v>
      </c>
    </row>
    <row r="71" spans="1:9" x14ac:dyDescent="0.2">
      <c r="A71" s="36" t="s">
        <v>28</v>
      </c>
      <c r="B71" s="43" t="s">
        <v>79</v>
      </c>
      <c r="C71" s="43" t="s">
        <v>79</v>
      </c>
      <c r="D71" s="43" t="s">
        <v>79</v>
      </c>
      <c r="E71" s="14">
        <f>E39/E19*1000000</f>
        <v>5.5237250389854129</v>
      </c>
      <c r="F71" s="14">
        <f>F39/F19*1000000</f>
        <v>7.6416526937342786</v>
      </c>
      <c r="G71" s="14">
        <f>G39/G19*1000000</f>
        <v>12.720518968658059</v>
      </c>
      <c r="H71" s="14">
        <f>H39/H19*1000000</f>
        <v>11.559862948923669</v>
      </c>
      <c r="I71" s="14">
        <f>I39/I19*1000000</f>
        <v>26.526657274365295</v>
      </c>
    </row>
    <row r="72" spans="1:9" x14ac:dyDescent="0.2">
      <c r="A72" s="36" t="s">
        <v>83</v>
      </c>
      <c r="B72" s="43" t="s">
        <v>79</v>
      </c>
      <c r="C72" s="43" t="s">
        <v>79</v>
      </c>
      <c r="D72" s="43" t="s">
        <v>79</v>
      </c>
      <c r="E72" s="14">
        <f>E42/E23*1000000</f>
        <v>3.74975514201763</v>
      </c>
      <c r="F72" s="14">
        <f>F42/F23*1000000</f>
        <v>1.3717647058823528</v>
      </c>
      <c r="G72" s="14">
        <f>G42/G23*1000000</f>
        <v>29.752118644067796</v>
      </c>
      <c r="H72" s="14">
        <f>H42/H23*1000000</f>
        <v>17.774916798038191</v>
      </c>
      <c r="I72" s="14">
        <f>I42/I23*1000000</f>
        <v>24.963282937365008</v>
      </c>
    </row>
    <row r="73" spans="1:9" x14ac:dyDescent="0.2">
      <c r="A73" s="36" t="s">
        <v>23</v>
      </c>
      <c r="B73" s="43" t="s">
        <v>79</v>
      </c>
      <c r="C73" s="43" t="s">
        <v>79</v>
      </c>
      <c r="D73" s="43" t="s">
        <v>79</v>
      </c>
      <c r="E73" s="14">
        <f>E31/E11*1000000</f>
        <v>19.435078300692314</v>
      </c>
      <c r="F73" s="14">
        <f t="shared" ref="F73:I73" si="17">F31/F11*1000000</f>
        <v>23.481787389411711</v>
      </c>
      <c r="G73" s="14">
        <f t="shared" si="17"/>
        <v>27.694593720644765</v>
      </c>
      <c r="H73" s="14">
        <f t="shared" si="17"/>
        <v>41.68556354121457</v>
      </c>
      <c r="I73" s="14">
        <f t="shared" si="17"/>
        <v>21.710241089212047</v>
      </c>
    </row>
    <row r="74" spans="1:9" x14ac:dyDescent="0.2">
      <c r="A74" s="36" t="s">
        <v>22</v>
      </c>
      <c r="B74" s="43" t="s">
        <v>79</v>
      </c>
      <c r="C74" s="43" t="s">
        <v>79</v>
      </c>
      <c r="D74" s="43" t="s">
        <v>79</v>
      </c>
      <c r="E74" s="38">
        <f>E30/E9*1000000</f>
        <v>18.929033835782946</v>
      </c>
      <c r="F74" s="38">
        <f t="shared" ref="F74:I74" si="18">F30/F9*1000000</f>
        <v>16.959155082573194</v>
      </c>
      <c r="G74" s="38">
        <f t="shared" si="18"/>
        <v>18.487237922990218</v>
      </c>
      <c r="H74" s="38">
        <f t="shared" si="18"/>
        <v>18.346570815241869</v>
      </c>
      <c r="I74" s="38">
        <f t="shared" si="18"/>
        <v>18.719132915544506</v>
      </c>
    </row>
    <row r="75" spans="1:9" x14ac:dyDescent="0.2">
      <c r="A75" s="36" t="s">
        <v>5</v>
      </c>
      <c r="B75" s="43" t="s">
        <v>79</v>
      </c>
      <c r="C75" s="43" t="s">
        <v>79</v>
      </c>
      <c r="D75" s="43" t="s">
        <v>79</v>
      </c>
      <c r="E75" s="38">
        <f>E35/E14*1000000</f>
        <v>17.750842467251534</v>
      </c>
      <c r="F75" s="38">
        <f t="shared" ref="F75:I75" si="19">F35/F14*1000000</f>
        <v>27.787146937551597</v>
      </c>
      <c r="G75" s="38">
        <f t="shared" si="19"/>
        <v>26.801316858491045</v>
      </c>
      <c r="H75" s="38">
        <f t="shared" si="19"/>
        <v>27.471331662124626</v>
      </c>
      <c r="I75" s="38">
        <f t="shared" si="19"/>
        <v>16.78737644805603</v>
      </c>
    </row>
    <row r="76" spans="1:9" x14ac:dyDescent="0.2">
      <c r="A76" s="36" t="s">
        <v>25</v>
      </c>
      <c r="B76" s="43" t="s">
        <v>79</v>
      </c>
      <c r="C76" s="43" t="s">
        <v>79</v>
      </c>
      <c r="D76" s="43" t="s">
        <v>79</v>
      </c>
      <c r="E76" s="38">
        <f>E40/E21*1000000</f>
        <v>19.790317124889523</v>
      </c>
      <c r="F76" s="38">
        <f t="shared" ref="F76:I76" si="20">F40/F21*1000000</f>
        <v>17.868343581705659</v>
      </c>
      <c r="G76" s="38">
        <f t="shared" si="20"/>
        <v>33.797389891006432</v>
      </c>
      <c r="H76" s="38">
        <f t="shared" si="20"/>
        <v>25.42037158124019</v>
      </c>
      <c r="I76" s="38">
        <f t="shared" si="20"/>
        <v>16.570301845443154</v>
      </c>
    </row>
    <row r="77" spans="1:9" x14ac:dyDescent="0.2">
      <c r="A77" s="36" t="s">
        <v>24</v>
      </c>
      <c r="B77" s="43" t="s">
        <v>79</v>
      </c>
      <c r="C77" s="43" t="s">
        <v>79</v>
      </c>
      <c r="D77" s="43" t="s">
        <v>79</v>
      </c>
      <c r="E77" s="38">
        <f>E34/E13*1000000</f>
        <v>8.8441783715342108</v>
      </c>
      <c r="F77" s="38">
        <f t="shared" ref="F77:I77" si="21">F34/F13*1000000</f>
        <v>14.192521941516178</v>
      </c>
      <c r="G77" s="38">
        <f t="shared" si="21"/>
        <v>15.991040874564197</v>
      </c>
      <c r="H77" s="38">
        <f t="shared" si="21"/>
        <v>32.855303501851303</v>
      </c>
      <c r="I77" s="38">
        <f t="shared" si="21"/>
        <v>14.210485105415444</v>
      </c>
    </row>
    <row r="78" spans="1:9" x14ac:dyDescent="0.2">
      <c r="A78" s="36" t="s">
        <v>82</v>
      </c>
      <c r="B78" s="43" t="s">
        <v>79</v>
      </c>
      <c r="C78" s="43" t="s">
        <v>79</v>
      </c>
      <c r="D78" s="43" t="s">
        <v>79</v>
      </c>
      <c r="E78" s="14">
        <f>E33/E12*1000000</f>
        <v>17.531569198052466</v>
      </c>
      <c r="F78" s="14">
        <f t="shared" ref="F78:I78" si="22">F33/F12*1000000</f>
        <v>20.710021810266959</v>
      </c>
      <c r="G78" s="14">
        <f t="shared" si="22"/>
        <v>20.469730344797021</v>
      </c>
      <c r="H78" s="14">
        <f t="shared" si="22"/>
        <v>16.854908815263247</v>
      </c>
      <c r="I78" s="14">
        <f t="shared" si="22"/>
        <v>10.539506446576143</v>
      </c>
    </row>
    <row r="79" spans="1:9" x14ac:dyDescent="0.2">
      <c r="A79" s="36" t="s">
        <v>26</v>
      </c>
      <c r="B79" s="43" t="s">
        <v>79</v>
      </c>
      <c r="C79" s="43" t="s">
        <v>79</v>
      </c>
      <c r="D79" s="43" t="s">
        <v>79</v>
      </c>
      <c r="E79" s="14">
        <f>E38/E18*1000000</f>
        <v>5.0051677210067949</v>
      </c>
      <c r="F79" s="14">
        <f t="shared" ref="F79:I79" si="23">F38/F18*1000000</f>
        <v>7.6775598256740256</v>
      </c>
      <c r="G79" s="14">
        <f t="shared" si="23"/>
        <v>5.7584798648111057</v>
      </c>
      <c r="H79" s="14">
        <f t="shared" si="23"/>
        <v>6.2058110205665518</v>
      </c>
      <c r="I79" s="14">
        <f t="shared" si="23"/>
        <v>4.8160440280237591</v>
      </c>
    </row>
    <row r="80" spans="1:9" x14ac:dyDescent="0.2">
      <c r="A80" s="36" t="s">
        <v>29</v>
      </c>
      <c r="B80" s="43" t="s">
        <v>79</v>
      </c>
      <c r="C80" s="43" t="s">
        <v>79</v>
      </c>
      <c r="D80" s="43" t="s">
        <v>79</v>
      </c>
      <c r="E80" s="14">
        <f>E41/E20*1000000</f>
        <v>0.48496779455901917</v>
      </c>
      <c r="F80" s="14">
        <f t="shared" ref="F80:I80" si="24">F41/F20*1000000</f>
        <v>0.72088992116794992</v>
      </c>
      <c r="G80" s="14">
        <f t="shared" si="24"/>
        <v>1.7310864393338625</v>
      </c>
      <c r="H80" s="14">
        <f t="shared" si="24"/>
        <v>2.3732378777640561</v>
      </c>
      <c r="I80" s="14">
        <f t="shared" si="24"/>
        <v>2.3367542640207621</v>
      </c>
    </row>
    <row r="81" spans="1:9" x14ac:dyDescent="0.2">
      <c r="A81" s="26" t="s">
        <v>3</v>
      </c>
      <c r="B81" s="44" t="s">
        <v>79</v>
      </c>
      <c r="C81" s="44" t="s">
        <v>79</v>
      </c>
      <c r="D81" s="44" t="s">
        <v>79</v>
      </c>
      <c r="E81" s="19">
        <f>E43/E24*1000000</f>
        <v>19.014898016803951</v>
      </c>
      <c r="F81" s="19">
        <f>F43/F24*1000000</f>
        <v>22.795742843017759</v>
      </c>
      <c r="G81" s="19">
        <f>G43/G24*1000000</f>
        <v>25.001065372511739</v>
      </c>
      <c r="H81" s="19">
        <f>H43/H24*1000000</f>
        <v>28.178253492723453</v>
      </c>
      <c r="I81" s="19">
        <f>I43/I24*1000000</f>
        <v>20.467138124045412</v>
      </c>
    </row>
    <row r="82" spans="1:9" x14ac:dyDescent="0.2">
      <c r="A82" s="35" t="s">
        <v>77</v>
      </c>
    </row>
    <row r="83" spans="1:9" x14ac:dyDescent="0.2">
      <c r="A83" s="35" t="s">
        <v>84</v>
      </c>
    </row>
    <row r="84" spans="1:9" x14ac:dyDescent="0.2">
      <c r="A84" s="35"/>
    </row>
  </sheetData>
  <phoneticPr fontId="9" type="noConversion"/>
  <hyperlinks>
    <hyperlink ref="A2" location="Sommaire!A5" display="Retour au menu &quot;Marché du jeu vidéo&quot;" xr:uid="{00000000-0004-0000-0400-00000000000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52"/>
  <sheetViews>
    <sheetView workbookViewId="0"/>
  </sheetViews>
  <sheetFormatPr baseColWidth="10" defaultColWidth="11.42578125" defaultRowHeight="12" x14ac:dyDescent="0.2"/>
  <cols>
    <col min="1" max="1" width="13.85546875" style="5" customWidth="1"/>
    <col min="2" max="10" width="7.140625" style="5" bestFit="1" customWidth="1"/>
    <col min="11" max="16384" width="11.42578125" style="5"/>
  </cols>
  <sheetData>
    <row r="1" spans="1:10" x14ac:dyDescent="0.2">
      <c r="A1" s="6"/>
    </row>
    <row r="2" spans="1:10" ht="12.75" x14ac:dyDescent="0.2">
      <c r="A2" s="31" t="s">
        <v>18</v>
      </c>
    </row>
    <row r="3" spans="1:10" x14ac:dyDescent="0.2">
      <c r="A3" s="6"/>
    </row>
    <row r="4" spans="1:10" ht="15" x14ac:dyDescent="0.25">
      <c r="A4" s="25" t="s">
        <v>64</v>
      </c>
    </row>
    <row r="5" spans="1:10" ht="12.75" customHeight="1" x14ac:dyDescent="0.25">
      <c r="A5" s="25"/>
    </row>
    <row r="6" spans="1:10" x14ac:dyDescent="0.2">
      <c r="A6" s="4" t="s">
        <v>68</v>
      </c>
    </row>
    <row r="7" spans="1:10" ht="3" customHeight="1" x14ac:dyDescent="0.2">
      <c r="A7" s="4"/>
    </row>
    <row r="8" spans="1:10" x14ac:dyDescent="0.2">
      <c r="A8" s="3"/>
      <c r="B8" s="27">
        <v>2016</v>
      </c>
      <c r="C8" s="27">
        <v>2017</v>
      </c>
      <c r="D8" s="27">
        <v>2018</v>
      </c>
      <c r="E8" s="27">
        <v>2019</v>
      </c>
      <c r="F8" s="27">
        <v>2020</v>
      </c>
      <c r="G8" s="27">
        <v>2021</v>
      </c>
      <c r="H8" s="27">
        <v>2022</v>
      </c>
      <c r="I8" s="27">
        <v>2023</v>
      </c>
      <c r="J8" s="27">
        <v>2024</v>
      </c>
    </row>
    <row r="9" spans="1:10" x14ac:dyDescent="0.2">
      <c r="A9" s="2" t="s">
        <v>7</v>
      </c>
      <c r="B9" s="43">
        <v>5792464.7899999972</v>
      </c>
      <c r="C9" s="43">
        <v>6291985.890000008</v>
      </c>
      <c r="D9" s="43">
        <v>6559210.8400000231</v>
      </c>
      <c r="E9" s="43">
        <v>6558501.0300000152</v>
      </c>
      <c r="F9" s="43">
        <v>8202689.6700000223</v>
      </c>
      <c r="G9" s="43">
        <v>7830914.5400000345</v>
      </c>
      <c r="H9" s="43">
        <v>6649994.9500000346</v>
      </c>
      <c r="I9" s="43">
        <v>6733140.3200000245</v>
      </c>
      <c r="J9" s="43">
        <v>5593042.7099999553</v>
      </c>
    </row>
    <row r="10" spans="1:10" x14ac:dyDescent="0.2">
      <c r="A10" s="2" t="s">
        <v>8</v>
      </c>
      <c r="B10" s="43">
        <v>4027633.870000001</v>
      </c>
      <c r="C10" s="43">
        <v>4088731.3900000011</v>
      </c>
      <c r="D10" s="43">
        <v>3417129.0399999917</v>
      </c>
      <c r="E10" s="43">
        <v>4362132.2699999996</v>
      </c>
      <c r="F10" s="43">
        <v>3990869.1200000169</v>
      </c>
      <c r="G10" s="43">
        <v>3734963.2100000046</v>
      </c>
      <c r="H10" s="43">
        <v>5034095.320000018</v>
      </c>
      <c r="I10" s="43">
        <v>2827792.8699999959</v>
      </c>
      <c r="J10" s="43">
        <v>2920188.8300000131</v>
      </c>
    </row>
    <row r="11" spans="1:10" x14ac:dyDescent="0.2">
      <c r="A11" s="2" t="s">
        <v>9</v>
      </c>
      <c r="B11" s="43">
        <v>2481730.9600000014</v>
      </c>
      <c r="C11" s="43">
        <v>2575953.29</v>
      </c>
      <c r="D11" s="43">
        <v>2923000.2800000031</v>
      </c>
      <c r="E11" s="43">
        <v>2821568.4900000021</v>
      </c>
      <c r="F11" s="43">
        <v>3126871.6799999988</v>
      </c>
      <c r="G11" s="43">
        <v>3035293.1700000013</v>
      </c>
      <c r="H11" s="43">
        <v>2305140.0199999996</v>
      </c>
      <c r="I11" s="43">
        <v>4383772.2900000084</v>
      </c>
      <c r="J11" s="43">
        <v>2816043.5000000144</v>
      </c>
    </row>
    <row r="12" spans="1:10" x14ac:dyDescent="0.2">
      <c r="A12" s="2" t="s">
        <v>10</v>
      </c>
      <c r="B12" s="43">
        <v>2327073.8600000008</v>
      </c>
      <c r="C12" s="43">
        <v>2850415.8599999989</v>
      </c>
      <c r="D12" s="43">
        <v>2280718.420000013</v>
      </c>
      <c r="E12" s="43">
        <v>1996024.9299999988</v>
      </c>
      <c r="F12" s="43">
        <v>2134619.0800000043</v>
      </c>
      <c r="G12" s="43">
        <v>1981742.2900000005</v>
      </c>
      <c r="H12" s="43">
        <v>2395002.46</v>
      </c>
      <c r="I12" s="43">
        <v>2396043.6600000034</v>
      </c>
      <c r="J12" s="43">
        <v>2378548.7000000142</v>
      </c>
    </row>
    <row r="13" spans="1:10" x14ac:dyDescent="0.2">
      <c r="A13" s="2" t="s">
        <v>11</v>
      </c>
      <c r="B13" s="43">
        <v>6704434.9399999958</v>
      </c>
      <c r="C13" s="43">
        <v>6721900.3100000052</v>
      </c>
      <c r="D13" s="43">
        <v>7030667.3000000278</v>
      </c>
      <c r="E13" s="43">
        <v>5807899.5700000068</v>
      </c>
      <c r="F13" s="43">
        <v>7328657.0500000129</v>
      </c>
      <c r="G13" s="43">
        <v>5293046.2600000035</v>
      </c>
      <c r="H13" s="43">
        <v>5062223.2200000109</v>
      </c>
      <c r="I13" s="43">
        <v>5346761.7099999962</v>
      </c>
      <c r="J13" s="43">
        <v>5437159.739999976</v>
      </c>
    </row>
    <row r="14" spans="1:10" x14ac:dyDescent="0.2">
      <c r="A14" s="2" t="s">
        <v>12</v>
      </c>
      <c r="B14" s="43">
        <v>47703.950000000019</v>
      </c>
      <c r="C14" s="43">
        <v>143846.94000000024</v>
      </c>
      <c r="D14" s="43">
        <v>92955.050000000178</v>
      </c>
      <c r="E14" s="43">
        <v>71476.460000000094</v>
      </c>
      <c r="F14" s="43">
        <v>87843.419999999984</v>
      </c>
      <c r="G14" s="43">
        <v>76954.660000000062</v>
      </c>
      <c r="H14" s="43">
        <v>70951.76999999999</v>
      </c>
      <c r="I14" s="43">
        <v>54531.669999999984</v>
      </c>
      <c r="J14" s="43">
        <v>38776.479999999996</v>
      </c>
    </row>
    <row r="15" spans="1:10" s="4" customFormat="1" x14ac:dyDescent="0.2">
      <c r="A15" s="3" t="s">
        <v>0</v>
      </c>
      <c r="B15" s="44">
        <v>21381042.369999994</v>
      </c>
      <c r="C15" s="44">
        <v>22672833.680000015</v>
      </c>
      <c r="D15" s="44">
        <v>22303680.930000059</v>
      </c>
      <c r="E15" s="44">
        <v>21617602.750000026</v>
      </c>
      <c r="F15" s="44">
        <v>24871550.020000059</v>
      </c>
      <c r="G15" s="44">
        <v>21952914.130000047</v>
      </c>
      <c r="H15" s="44">
        <v>21517407.740000062</v>
      </c>
      <c r="I15" s="44">
        <v>21742042.520000029</v>
      </c>
      <c r="J15" s="44">
        <v>19183759.959999975</v>
      </c>
    </row>
    <row r="17" spans="1:10" x14ac:dyDescent="0.2">
      <c r="A17" s="4" t="s">
        <v>65</v>
      </c>
    </row>
    <row r="18" spans="1:10" ht="3" customHeight="1" x14ac:dyDescent="0.2">
      <c r="A18" s="4"/>
    </row>
    <row r="19" spans="1:10" x14ac:dyDescent="0.2">
      <c r="A19" s="2"/>
      <c r="B19" s="27">
        <v>2016</v>
      </c>
      <c r="C19" s="27">
        <v>2017</v>
      </c>
      <c r="D19" s="27">
        <v>2018</v>
      </c>
      <c r="E19" s="27">
        <v>2019</v>
      </c>
      <c r="F19" s="27">
        <v>2020</v>
      </c>
      <c r="G19" s="27">
        <v>2021</v>
      </c>
      <c r="H19" s="27">
        <v>2022</v>
      </c>
      <c r="I19" s="27">
        <v>2023</v>
      </c>
      <c r="J19" s="27">
        <v>2024</v>
      </c>
    </row>
    <row r="20" spans="1:10" x14ac:dyDescent="0.2">
      <c r="A20" s="2" t="s">
        <v>7</v>
      </c>
      <c r="B20" s="15">
        <v>247902989.38000029</v>
      </c>
      <c r="C20" s="15">
        <v>280205838.60000038</v>
      </c>
      <c r="D20" s="15">
        <v>296071582.75999969</v>
      </c>
      <c r="E20" s="15">
        <v>295970280.22000027</v>
      </c>
      <c r="F20" s="15">
        <v>348041712.2300002</v>
      </c>
      <c r="G20" s="15">
        <v>350105224.46000004</v>
      </c>
      <c r="H20" s="15">
        <v>305835072.15999991</v>
      </c>
      <c r="I20" s="15">
        <v>306701421.97000051</v>
      </c>
      <c r="J20" s="15">
        <v>258133943.78999993</v>
      </c>
    </row>
    <row r="21" spans="1:10" x14ac:dyDescent="0.2">
      <c r="A21" s="2" t="s">
        <v>8</v>
      </c>
      <c r="B21" s="15">
        <v>134541418.82000002</v>
      </c>
      <c r="C21" s="15">
        <v>142072053.98000002</v>
      </c>
      <c r="D21" s="15">
        <v>124372831.38000005</v>
      </c>
      <c r="E21" s="15">
        <v>161081877.97999996</v>
      </c>
      <c r="F21" s="15">
        <v>136002769.8600001</v>
      </c>
      <c r="G21" s="15">
        <v>131735854.63000004</v>
      </c>
      <c r="H21" s="15">
        <v>200384127.42999992</v>
      </c>
      <c r="I21" s="15">
        <v>89532714.059999764</v>
      </c>
      <c r="J21" s="15">
        <v>98098385.700000048</v>
      </c>
    </row>
    <row r="22" spans="1:10" x14ac:dyDescent="0.2">
      <c r="A22" s="2" t="s">
        <v>9</v>
      </c>
      <c r="B22" s="15">
        <v>105762327.76000005</v>
      </c>
      <c r="C22" s="15">
        <v>106940326.40000001</v>
      </c>
      <c r="D22" s="15">
        <v>123528317.02999994</v>
      </c>
      <c r="E22" s="15">
        <v>107896290.76000011</v>
      </c>
      <c r="F22" s="15">
        <v>108512232.09000036</v>
      </c>
      <c r="G22" s="15">
        <v>101989600.43999997</v>
      </c>
      <c r="H22" s="15">
        <v>70806134.049999967</v>
      </c>
      <c r="I22" s="15">
        <v>208640359.75000021</v>
      </c>
      <c r="J22" s="15">
        <v>110905884.54999979</v>
      </c>
    </row>
    <row r="23" spans="1:10" x14ac:dyDescent="0.2">
      <c r="A23" s="2" t="s">
        <v>10</v>
      </c>
      <c r="B23" s="15">
        <v>99855082.439999983</v>
      </c>
      <c r="C23" s="15">
        <v>122730392.18000028</v>
      </c>
      <c r="D23" s="15">
        <v>89779749.509999901</v>
      </c>
      <c r="E23" s="15">
        <v>69048700.959999993</v>
      </c>
      <c r="F23" s="15">
        <v>66639215.249999993</v>
      </c>
      <c r="G23" s="15">
        <v>64760627.609999985</v>
      </c>
      <c r="H23" s="15">
        <v>99454738.980000094</v>
      </c>
      <c r="I23" s="15">
        <v>107580134.12000018</v>
      </c>
      <c r="J23" s="15">
        <v>93432131.66000022</v>
      </c>
    </row>
    <row r="24" spans="1:10" x14ac:dyDescent="0.2">
      <c r="A24" s="2" t="s">
        <v>11</v>
      </c>
      <c r="B24" s="15">
        <v>303125260.81999987</v>
      </c>
      <c r="C24" s="15">
        <v>293575415.42000043</v>
      </c>
      <c r="D24" s="15">
        <v>321723692.08000028</v>
      </c>
      <c r="E24" s="15">
        <v>238777156.77999991</v>
      </c>
      <c r="F24" s="15">
        <v>289639455.32999992</v>
      </c>
      <c r="G24" s="15">
        <v>197905805.28999984</v>
      </c>
      <c r="H24" s="15">
        <v>199156385.4000001</v>
      </c>
      <c r="I24" s="15">
        <v>204738556.31000003</v>
      </c>
      <c r="J24" s="15">
        <v>201103902.09999952</v>
      </c>
    </row>
    <row r="25" spans="1:10" x14ac:dyDescent="0.2">
      <c r="A25" s="2" t="s">
        <v>12</v>
      </c>
      <c r="B25" s="15">
        <v>573239.72</v>
      </c>
      <c r="C25" s="15">
        <v>2546600.3299999987</v>
      </c>
      <c r="D25" s="15">
        <v>1540051.4800000007</v>
      </c>
      <c r="E25" s="15">
        <v>965370.83000000066</v>
      </c>
      <c r="F25" s="15">
        <v>2609466.8499999992</v>
      </c>
      <c r="G25" s="15">
        <v>1949567.35</v>
      </c>
      <c r="H25" s="15">
        <v>1410375.49</v>
      </c>
      <c r="I25" s="15">
        <v>814189.08999999962</v>
      </c>
      <c r="J25" s="15">
        <v>1314254.6300000004</v>
      </c>
    </row>
    <row r="26" spans="1:10" s="4" customFormat="1" x14ac:dyDescent="0.2">
      <c r="A26" s="3" t="s">
        <v>0</v>
      </c>
      <c r="B26" s="16">
        <v>891760318.9400003</v>
      </c>
      <c r="C26" s="16">
        <v>948070626.91000116</v>
      </c>
      <c r="D26" s="16">
        <v>957016224.23999989</v>
      </c>
      <c r="E26" s="16">
        <v>873739677.53000033</v>
      </c>
      <c r="F26" s="16">
        <v>951444851.61000061</v>
      </c>
      <c r="G26" s="16">
        <v>848446679.77999985</v>
      </c>
      <c r="H26" s="16">
        <v>877046833.50999999</v>
      </c>
      <c r="I26" s="16">
        <v>918007375.30000067</v>
      </c>
      <c r="J26" s="16">
        <v>762988502.42999959</v>
      </c>
    </row>
    <row r="28" spans="1:10" x14ac:dyDescent="0.2">
      <c r="A28" s="4" t="s">
        <v>66</v>
      </c>
    </row>
    <row r="29" spans="1:10" ht="3" customHeight="1" x14ac:dyDescent="0.2">
      <c r="A29" s="4"/>
    </row>
    <row r="30" spans="1:10" x14ac:dyDescent="0.2">
      <c r="A30" s="3"/>
      <c r="B30" s="27">
        <v>2016</v>
      </c>
      <c r="C30" s="27">
        <v>2017</v>
      </c>
      <c r="D30" s="27">
        <v>2018</v>
      </c>
      <c r="E30" s="27">
        <v>2019</v>
      </c>
      <c r="F30" s="27">
        <v>2020</v>
      </c>
      <c r="G30" s="27">
        <v>2021</v>
      </c>
      <c r="H30" s="27">
        <v>2022</v>
      </c>
      <c r="I30" s="27">
        <v>2023</v>
      </c>
      <c r="J30" s="27">
        <v>2024</v>
      </c>
    </row>
    <row r="31" spans="1:10" x14ac:dyDescent="0.2">
      <c r="A31" s="2" t="s">
        <v>7</v>
      </c>
      <c r="B31" s="24">
        <f>B20/B26*100</f>
        <v>27.799284641266908</v>
      </c>
      <c r="C31" s="24">
        <f t="shared" ref="C31:F31" si="0">C20/C26*100</f>
        <v>29.555376007509182</v>
      </c>
      <c r="D31" s="24">
        <f t="shared" si="0"/>
        <v>30.936944981796994</v>
      </c>
      <c r="E31" s="24">
        <f t="shared" si="0"/>
        <v>33.873965876963155</v>
      </c>
      <c r="F31" s="24">
        <f t="shared" si="0"/>
        <v>36.580334807745984</v>
      </c>
      <c r="G31" s="24">
        <f t="shared" ref="G31:H31" si="1">G20/G26*100</f>
        <v>41.264257708072059</v>
      </c>
      <c r="H31" s="24">
        <f t="shared" si="1"/>
        <v>34.871008077872823</v>
      </c>
      <c r="I31" s="24">
        <f t="shared" ref="I31:J31" si="2">I20/I26*100</f>
        <v>33.409472540432681</v>
      </c>
      <c r="J31" s="51">
        <f t="shared" si="2"/>
        <v>33.831957227125116</v>
      </c>
    </row>
    <row r="32" spans="1:10" x14ac:dyDescent="0.2">
      <c r="A32" s="2" t="s">
        <v>8</v>
      </c>
      <c r="B32" s="24">
        <f>B21/B26*100</f>
        <v>15.087172636244233</v>
      </c>
      <c r="C32" s="24">
        <f t="shared" ref="C32:F32" si="3">C21/C26*100</f>
        <v>14.985387158660144</v>
      </c>
      <c r="D32" s="24">
        <f t="shared" si="3"/>
        <v>12.995895809265811</v>
      </c>
      <c r="E32" s="24">
        <f t="shared" si="3"/>
        <v>18.435911991013949</v>
      </c>
      <c r="F32" s="24">
        <f t="shared" si="3"/>
        <v>14.294340825940791</v>
      </c>
      <c r="G32" s="24">
        <f t="shared" ref="G32:H32" si="4">G21/G26*100</f>
        <v>15.526709900515941</v>
      </c>
      <c r="H32" s="24">
        <f t="shared" si="4"/>
        <v>22.847597160581408</v>
      </c>
      <c r="I32" s="24">
        <f t="shared" ref="I32:J32" si="5">I21/I26*100</f>
        <v>9.7529406047245395</v>
      </c>
      <c r="J32" s="51">
        <f t="shared" si="5"/>
        <v>12.857125027123208</v>
      </c>
    </row>
    <row r="33" spans="1:10" x14ac:dyDescent="0.2">
      <c r="A33" s="2" t="s">
        <v>9</v>
      </c>
      <c r="B33" s="24">
        <f>B22/B26*100</f>
        <v>11.859949979128414</v>
      </c>
      <c r="C33" s="24">
        <f t="shared" ref="C33:F33" si="6">C22/C26*100</f>
        <v>11.2797847928846</v>
      </c>
      <c r="D33" s="24">
        <f t="shared" si="6"/>
        <v>12.907651291711183</v>
      </c>
      <c r="E33" s="24">
        <f t="shared" si="6"/>
        <v>12.348791468989392</v>
      </c>
      <c r="F33" s="24">
        <f t="shared" si="6"/>
        <v>11.404994404707733</v>
      </c>
      <c r="G33" s="24">
        <f t="shared" ref="G33:H33" si="7">G22/G26*100</f>
        <v>12.020743656683957</v>
      </c>
      <c r="H33" s="24">
        <f t="shared" si="7"/>
        <v>8.073244363317416</v>
      </c>
      <c r="I33" s="24">
        <f t="shared" ref="I33:J33" si="8">I22/I26*100</f>
        <v>22.727525438651021</v>
      </c>
      <c r="J33" s="51">
        <f t="shared" si="8"/>
        <v>14.535721599576116</v>
      </c>
    </row>
    <row r="34" spans="1:10" x14ac:dyDescent="0.2">
      <c r="A34" s="2" t="s">
        <v>10</v>
      </c>
      <c r="B34" s="24">
        <f>B23/B26*100</f>
        <v>11.197524751795832</v>
      </c>
      <c r="C34" s="24">
        <f t="shared" ref="C34:F34" si="9">C23/C26*100</f>
        <v>12.94527946509737</v>
      </c>
      <c r="D34" s="24">
        <f t="shared" si="9"/>
        <v>9.3812149925981814</v>
      </c>
      <c r="E34" s="24">
        <f t="shared" si="9"/>
        <v>7.9026628566526522</v>
      </c>
      <c r="F34" s="24">
        <f t="shared" si="9"/>
        <v>7.0040018753830573</v>
      </c>
      <c r="G34" s="24">
        <f t="shared" ref="G34:H34" si="10">G23/G26*100</f>
        <v>7.6328458998498592</v>
      </c>
      <c r="H34" s="24">
        <f t="shared" si="10"/>
        <v>11.339729553777145</v>
      </c>
      <c r="I34" s="24">
        <f t="shared" ref="I34:J34" si="11">I23/I26*100</f>
        <v>11.71887470782503</v>
      </c>
      <c r="J34" s="51">
        <f t="shared" si="11"/>
        <v>12.24554909575091</v>
      </c>
    </row>
    <row r="35" spans="1:10" x14ac:dyDescent="0.2">
      <c r="A35" s="2" t="s">
        <v>11</v>
      </c>
      <c r="B35" s="24">
        <f>B24/B26*100</f>
        <v>33.991786176392409</v>
      </c>
      <c r="C35" s="24">
        <f t="shared" ref="C35:F35" si="12">C24/C26*100</f>
        <v>30.965563860662577</v>
      </c>
      <c r="D35" s="24">
        <f t="shared" si="12"/>
        <v>33.617370733238332</v>
      </c>
      <c r="E35" s="24">
        <f t="shared" si="12"/>
        <v>27.328180569183473</v>
      </c>
      <c r="F35" s="24">
        <f t="shared" si="12"/>
        <v>30.44206449169203</v>
      </c>
      <c r="G35" s="24">
        <f t="shared" ref="G35:H35" si="13">G24/G26*100</f>
        <v>23.325662060616033</v>
      </c>
      <c r="H35" s="24">
        <f t="shared" si="13"/>
        <v>22.707611246136416</v>
      </c>
      <c r="I35" s="24">
        <f t="shared" ref="I35:J35" si="14">I24/I26*100</f>
        <v>22.30249579891364</v>
      </c>
      <c r="J35" s="51">
        <f t="shared" si="14"/>
        <v>26.357396141555856</v>
      </c>
    </row>
    <row r="36" spans="1:10" x14ac:dyDescent="0.2">
      <c r="A36" s="2" t="s">
        <v>12</v>
      </c>
      <c r="B36" s="24">
        <f>B25/B26*100</f>
        <v>6.4281815172196388E-2</v>
      </c>
      <c r="C36" s="24">
        <f t="shared" ref="C36:F36" si="15">C25/C26*100</f>
        <v>0.26860871518612545</v>
      </c>
      <c r="D36" s="24">
        <f t="shared" si="15"/>
        <v>0.1609221913894939</v>
      </c>
      <c r="E36" s="24">
        <f t="shared" si="15"/>
        <v>0.1104872371973578</v>
      </c>
      <c r="F36" s="24">
        <f t="shared" si="15"/>
        <v>0.274263594530398</v>
      </c>
      <c r="G36" s="24">
        <f t="shared" ref="G36:H36" si="16">G25/G26*100</f>
        <v>0.2297807742621514</v>
      </c>
      <c r="H36" s="24">
        <f t="shared" si="16"/>
        <v>0.16080959831478819</v>
      </c>
      <c r="I36" s="24">
        <f t="shared" ref="I36:J36" si="17">I25/I26*100</f>
        <v>8.869090945308869E-2</v>
      </c>
      <c r="J36" s="51">
        <f t="shared" si="17"/>
        <v>0.17225090886878425</v>
      </c>
    </row>
    <row r="37" spans="1:10" x14ac:dyDescent="0.2">
      <c r="A37" s="3" t="s">
        <v>0</v>
      </c>
      <c r="B37" s="23">
        <f>B26/B26*100</f>
        <v>100</v>
      </c>
      <c r="C37" s="23">
        <f t="shared" ref="C37:F37" si="18">C26/C26*100</f>
        <v>100</v>
      </c>
      <c r="D37" s="23">
        <f t="shared" si="18"/>
        <v>100</v>
      </c>
      <c r="E37" s="23">
        <f t="shared" si="18"/>
        <v>100</v>
      </c>
      <c r="F37" s="23">
        <f t="shared" si="18"/>
        <v>100</v>
      </c>
      <c r="G37" s="23">
        <f t="shared" ref="G37:H37" si="19">G26/G26*100</f>
        <v>100</v>
      </c>
      <c r="H37" s="23">
        <f t="shared" si="19"/>
        <v>100</v>
      </c>
      <c r="I37" s="23">
        <f t="shared" ref="I37:J37" si="20">I26/I26*100</f>
        <v>100</v>
      </c>
      <c r="J37" s="52">
        <f t="shared" si="20"/>
        <v>100</v>
      </c>
    </row>
    <row r="39" spans="1:10" x14ac:dyDescent="0.2">
      <c r="A39" s="4" t="s">
        <v>67</v>
      </c>
    </row>
    <row r="40" spans="1:10" ht="3" customHeight="1" x14ac:dyDescent="0.2">
      <c r="A40" s="4"/>
    </row>
    <row r="41" spans="1:10" x14ac:dyDescent="0.2">
      <c r="A41" s="3"/>
      <c r="B41" s="27">
        <v>2016</v>
      </c>
      <c r="C41" s="27">
        <v>2017</v>
      </c>
      <c r="D41" s="27">
        <v>2018</v>
      </c>
      <c r="E41" s="27">
        <v>2019</v>
      </c>
      <c r="F41" s="27">
        <v>2020</v>
      </c>
      <c r="G41" s="27">
        <v>2021</v>
      </c>
      <c r="H41" s="27">
        <v>2022</v>
      </c>
      <c r="I41" s="27">
        <v>2023</v>
      </c>
      <c r="J41" s="27">
        <v>2024</v>
      </c>
    </row>
    <row r="42" spans="1:10" x14ac:dyDescent="0.2">
      <c r="A42" s="2" t="s">
        <v>7</v>
      </c>
      <c r="B42" s="14">
        <f>B20/B9</f>
        <v>42.797496120818096</v>
      </c>
      <c r="C42" s="14">
        <f t="shared" ref="C42:F42" si="21">C20/C9</f>
        <v>44.533767795846096</v>
      </c>
      <c r="D42" s="14">
        <f t="shared" si="21"/>
        <v>45.138293307247714</v>
      </c>
      <c r="E42" s="14">
        <f t="shared" si="21"/>
        <v>45.127732520917142</v>
      </c>
      <c r="F42" s="14">
        <f t="shared" si="21"/>
        <v>42.430193781791488</v>
      </c>
      <c r="G42" s="14">
        <f t="shared" ref="G42:H42" si="22">G20/G9</f>
        <v>44.708089032471868</v>
      </c>
      <c r="H42" s="14">
        <f t="shared" si="22"/>
        <v>45.990271339980239</v>
      </c>
      <c r="I42" s="14">
        <f t="shared" ref="I42:J42" si="23">I20/I9</f>
        <v>45.551021869985235</v>
      </c>
      <c r="J42" s="14">
        <f t="shared" si="23"/>
        <v>46.152685966169209</v>
      </c>
    </row>
    <row r="43" spans="1:10" x14ac:dyDescent="0.2">
      <c r="A43" s="2" t="s">
        <v>8</v>
      </c>
      <c r="B43" s="14">
        <f t="shared" ref="B43:F43" si="24">B21/B10</f>
        <v>33.404580248005509</v>
      </c>
      <c r="C43" s="14">
        <f t="shared" si="24"/>
        <v>34.747221186373892</v>
      </c>
      <c r="D43" s="14">
        <f t="shared" si="24"/>
        <v>36.396878761125265</v>
      </c>
      <c r="E43" s="14">
        <f t="shared" si="24"/>
        <v>36.927325447653146</v>
      </c>
      <c r="F43" s="14">
        <f t="shared" si="24"/>
        <v>34.078484102229723</v>
      </c>
      <c r="G43" s="14">
        <f t="shared" ref="G43:H43" si="25">G21/G10</f>
        <v>35.270991231530729</v>
      </c>
      <c r="H43" s="14">
        <f t="shared" si="25"/>
        <v>39.805389984152946</v>
      </c>
      <c r="I43" s="14">
        <f t="shared" ref="I43:J43" si="26">I21/I10</f>
        <v>31.661694535639697</v>
      </c>
      <c r="J43" s="14">
        <f t="shared" si="26"/>
        <v>33.593165172130192</v>
      </c>
    </row>
    <row r="44" spans="1:10" x14ac:dyDescent="0.2">
      <c r="A44" s="2" t="s">
        <v>9</v>
      </c>
      <c r="B44" s="14">
        <f t="shared" ref="B44:F44" si="27">B22/B11</f>
        <v>42.616355062113577</v>
      </c>
      <c r="C44" s="14">
        <f t="shared" si="27"/>
        <v>41.514854642414733</v>
      </c>
      <c r="D44" s="14">
        <f t="shared" si="27"/>
        <v>42.2607954830575</v>
      </c>
      <c r="E44" s="14">
        <f t="shared" si="27"/>
        <v>38.239826941078448</v>
      </c>
      <c r="F44" s="14">
        <f t="shared" si="27"/>
        <v>34.703129259848744</v>
      </c>
      <c r="G44" s="14">
        <f t="shared" ref="G44:H44" si="28">G22/G11</f>
        <v>33.601235441781043</v>
      </c>
      <c r="H44" s="14">
        <f t="shared" si="28"/>
        <v>30.716630415361919</v>
      </c>
      <c r="I44" s="14">
        <f t="shared" ref="I44:J44" si="29">I22/I11</f>
        <v>47.593795012103563</v>
      </c>
      <c r="J44" s="14">
        <f t="shared" si="29"/>
        <v>39.383583581006192</v>
      </c>
    </row>
    <row r="45" spans="1:10" x14ac:dyDescent="0.2">
      <c r="A45" s="2" t="s">
        <v>10</v>
      </c>
      <c r="B45" s="14">
        <f t="shared" ref="B45:F45" si="30">B23/B12</f>
        <v>42.910147441559914</v>
      </c>
      <c r="C45" s="14">
        <f t="shared" si="30"/>
        <v>43.057012803738864</v>
      </c>
      <c r="D45" s="14">
        <f t="shared" si="30"/>
        <v>39.364679446049017</v>
      </c>
      <c r="E45" s="14">
        <f t="shared" si="30"/>
        <v>34.593105487915942</v>
      </c>
      <c r="F45" s="14">
        <f t="shared" si="30"/>
        <v>31.21831706385753</v>
      </c>
      <c r="G45" s="14">
        <f t="shared" ref="G45:H45" si="31">G23/G12</f>
        <v>32.67863230087297</v>
      </c>
      <c r="H45" s="14">
        <f t="shared" si="31"/>
        <v>41.525944395063419</v>
      </c>
      <c r="I45" s="14">
        <f t="shared" ref="I45:J45" si="32">I23/I12</f>
        <v>44.899070879200934</v>
      </c>
      <c r="J45" s="14">
        <f t="shared" si="32"/>
        <v>39.281151426497871</v>
      </c>
    </row>
    <row r="46" spans="1:10" x14ac:dyDescent="0.2">
      <c r="A46" s="2" t="s">
        <v>11</v>
      </c>
      <c r="B46" s="14">
        <f t="shared" ref="B46:F46" si="33">B24/B13</f>
        <v>45.212648572587995</v>
      </c>
      <c r="C46" s="14">
        <f t="shared" si="33"/>
        <v>43.67446732038789</v>
      </c>
      <c r="D46" s="14">
        <f t="shared" si="33"/>
        <v>45.760050696752359</v>
      </c>
      <c r="E46" s="14">
        <f t="shared" si="33"/>
        <v>41.112480321349572</v>
      </c>
      <c r="F46" s="14">
        <f t="shared" si="33"/>
        <v>39.521491230101894</v>
      </c>
      <c r="G46" s="14">
        <f t="shared" ref="G46:H46" si="34">G24/G13</f>
        <v>37.389774350847958</v>
      </c>
      <c r="H46" s="14">
        <f t="shared" si="34"/>
        <v>39.341683830370414</v>
      </c>
      <c r="I46" s="14">
        <f t="shared" ref="I46:J46" si="35">I24/I13</f>
        <v>38.292066752681258</v>
      </c>
      <c r="J46" s="14">
        <f t="shared" si="35"/>
        <v>36.986940188739133</v>
      </c>
    </row>
    <row r="47" spans="1:10" x14ac:dyDescent="0.2">
      <c r="A47" s="2" t="s">
        <v>12</v>
      </c>
      <c r="B47" s="14">
        <f t="shared" ref="B47:F47" si="36">B25/B14</f>
        <v>12.016609106793037</v>
      </c>
      <c r="C47" s="14">
        <f t="shared" si="36"/>
        <v>17.703541903637259</v>
      </c>
      <c r="D47" s="14">
        <f t="shared" si="36"/>
        <v>16.567701055510138</v>
      </c>
      <c r="E47" s="14">
        <f t="shared" si="36"/>
        <v>13.506136565800816</v>
      </c>
      <c r="F47" s="14">
        <f t="shared" si="36"/>
        <v>29.705888614081733</v>
      </c>
      <c r="G47" s="14">
        <f t="shared" ref="G47:H47" si="37">G25/G14</f>
        <v>25.333973926985038</v>
      </c>
      <c r="H47" s="14">
        <f t="shared" si="37"/>
        <v>19.877946526210696</v>
      </c>
      <c r="I47" s="14">
        <f t="shared" ref="I47:J47" si="38">I25/I14</f>
        <v>14.93057318802083</v>
      </c>
      <c r="J47" s="14">
        <f t="shared" si="38"/>
        <v>33.893087510779743</v>
      </c>
    </row>
    <row r="48" spans="1:10" x14ac:dyDescent="0.2">
      <c r="A48" s="3" t="s">
        <v>0</v>
      </c>
      <c r="B48" s="19">
        <f t="shared" ref="B48:F48" si="39">B26/B15</f>
        <v>41.707990822338964</v>
      </c>
      <c r="C48" s="19">
        <f t="shared" si="39"/>
        <v>41.815268452584554</v>
      </c>
      <c r="D48" s="19">
        <f t="shared" si="39"/>
        <v>42.908443106032067</v>
      </c>
      <c r="E48" s="19">
        <f t="shared" si="39"/>
        <v>40.417972688021536</v>
      </c>
      <c r="F48" s="19">
        <f t="shared" si="39"/>
        <v>38.254344857675193</v>
      </c>
      <c r="G48" s="19">
        <f t="shared" ref="G48:H48" si="40">G26/G15</f>
        <v>38.648476223051581</v>
      </c>
      <c r="H48" s="19">
        <f t="shared" si="40"/>
        <v>40.759874242639484</v>
      </c>
      <c r="I48" s="19">
        <f t="shared" ref="I48:J48" si="41">I26/I15</f>
        <v>42.222683285415606</v>
      </c>
      <c r="J48" s="19">
        <f t="shared" si="41"/>
        <v>39.772625596906217</v>
      </c>
    </row>
    <row r="49" spans="1:1" x14ac:dyDescent="0.2">
      <c r="A49" s="35" t="s">
        <v>77</v>
      </c>
    </row>
    <row r="50" spans="1:1" x14ac:dyDescent="0.2">
      <c r="A50" s="35"/>
    </row>
    <row r="52" spans="1:1" x14ac:dyDescent="0.2">
      <c r="A52" s="50"/>
    </row>
  </sheetData>
  <phoneticPr fontId="9" type="noConversion"/>
  <hyperlinks>
    <hyperlink ref="A2" location="Sommaire!A5" display="Retour au menu &quot;Marché du jeu vidéo&quot;" xr:uid="{00000000-0004-0000-0600-000000000000}"/>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96C3-01F2-423C-8ED6-2D94504B3A1E}">
  <dimension ref="A1:J54"/>
  <sheetViews>
    <sheetView tabSelected="1" workbookViewId="0"/>
  </sheetViews>
  <sheetFormatPr baseColWidth="10" defaultColWidth="11.42578125" defaultRowHeight="12" x14ac:dyDescent="0.2"/>
  <cols>
    <col min="1" max="1" width="13.85546875" style="5" customWidth="1"/>
    <col min="2" max="5" width="4.42578125" style="5" bestFit="1" customWidth="1"/>
    <col min="6" max="10" width="6.28515625" style="5" bestFit="1" customWidth="1"/>
    <col min="11" max="16384" width="11.42578125" style="5"/>
  </cols>
  <sheetData>
    <row r="1" spans="1:10" x14ac:dyDescent="0.2">
      <c r="A1" s="6"/>
    </row>
    <row r="2" spans="1:10" ht="12.75" x14ac:dyDescent="0.2">
      <c r="A2" s="31" t="s">
        <v>18</v>
      </c>
    </row>
    <row r="3" spans="1:10" x14ac:dyDescent="0.2">
      <c r="A3" s="6"/>
    </row>
    <row r="4" spans="1:10" ht="15" x14ac:dyDescent="0.25">
      <c r="A4" s="25" t="s">
        <v>69</v>
      </c>
    </row>
    <row r="5" spans="1:10" ht="12.75" customHeight="1" x14ac:dyDescent="0.25">
      <c r="A5" s="25"/>
    </row>
    <row r="6" spans="1:10" x14ac:dyDescent="0.2">
      <c r="A6" s="4" t="s">
        <v>73</v>
      </c>
    </row>
    <row r="7" spans="1:10" ht="3" customHeight="1" x14ac:dyDescent="0.2">
      <c r="A7" s="4"/>
    </row>
    <row r="8" spans="1:10" x14ac:dyDescent="0.2">
      <c r="A8" s="3"/>
      <c r="B8" s="27">
        <v>2016</v>
      </c>
      <c r="C8" s="27">
        <v>2017</v>
      </c>
      <c r="D8" s="27">
        <v>2018</v>
      </c>
      <c r="E8" s="27">
        <v>2019</v>
      </c>
      <c r="F8" s="27">
        <v>2020</v>
      </c>
      <c r="G8" s="27">
        <v>2021</v>
      </c>
      <c r="H8" s="27">
        <v>2022</v>
      </c>
      <c r="I8" s="27">
        <v>2023</v>
      </c>
      <c r="J8" s="27">
        <v>2024</v>
      </c>
    </row>
    <row r="9" spans="1:10" x14ac:dyDescent="0.2">
      <c r="A9" s="2" t="s">
        <v>7</v>
      </c>
      <c r="B9" s="43" t="s">
        <v>79</v>
      </c>
      <c r="C9" s="43" t="s">
        <v>79</v>
      </c>
      <c r="D9" s="43" t="s">
        <v>79</v>
      </c>
      <c r="E9" s="43" t="s">
        <v>79</v>
      </c>
      <c r="F9" s="43">
        <v>486808.38000000053</v>
      </c>
      <c r="G9" s="43">
        <v>508664.37999999983</v>
      </c>
      <c r="H9" s="43">
        <v>468023.51</v>
      </c>
      <c r="I9" s="43">
        <v>403676.22</v>
      </c>
      <c r="J9" s="43">
        <v>441219.17999999947</v>
      </c>
    </row>
    <row r="10" spans="1:10" x14ac:dyDescent="0.2">
      <c r="A10" s="2" t="s">
        <v>8</v>
      </c>
      <c r="B10" s="43" t="s">
        <v>79</v>
      </c>
      <c r="C10" s="43" t="s">
        <v>79</v>
      </c>
      <c r="D10" s="43" t="s">
        <v>79</v>
      </c>
      <c r="E10" s="43" t="s">
        <v>79</v>
      </c>
      <c r="F10" s="43">
        <v>387073.89999999991</v>
      </c>
      <c r="G10" s="43">
        <v>285601.23000000004</v>
      </c>
      <c r="H10" s="43">
        <v>215410.21</v>
      </c>
      <c r="I10" s="43">
        <v>222582.41</v>
      </c>
      <c r="J10" s="43">
        <v>248290.81999999989</v>
      </c>
    </row>
    <row r="11" spans="1:10" x14ac:dyDescent="0.2">
      <c r="A11" s="2" t="s">
        <v>9</v>
      </c>
      <c r="B11" s="43" t="s">
        <v>79</v>
      </c>
      <c r="C11" s="43" t="s">
        <v>79</v>
      </c>
      <c r="D11" s="43" t="s">
        <v>79</v>
      </c>
      <c r="E11" s="43" t="s">
        <v>79</v>
      </c>
      <c r="F11" s="43">
        <v>1281883.280000001</v>
      </c>
      <c r="G11" s="43">
        <v>821128.570000001</v>
      </c>
      <c r="H11" s="43">
        <v>693508.42000000016</v>
      </c>
      <c r="I11" s="43">
        <v>816538.09999999986</v>
      </c>
      <c r="J11" s="43">
        <v>821090.42000000586</v>
      </c>
    </row>
    <row r="12" spans="1:10" x14ac:dyDescent="0.2">
      <c r="A12" s="2" t="s">
        <v>10</v>
      </c>
      <c r="B12" s="43" t="s">
        <v>79</v>
      </c>
      <c r="C12" s="43" t="s">
        <v>79</v>
      </c>
      <c r="D12" s="43" t="s">
        <v>79</v>
      </c>
      <c r="E12" s="43" t="s">
        <v>79</v>
      </c>
      <c r="F12" s="43">
        <v>1032994.6999999998</v>
      </c>
      <c r="G12" s="43">
        <v>838177.59999999974</v>
      </c>
      <c r="H12" s="43">
        <v>860400.38000000012</v>
      </c>
      <c r="I12" s="43">
        <v>755349.82000000007</v>
      </c>
      <c r="J12" s="43">
        <v>1249435.6200000059</v>
      </c>
    </row>
    <row r="13" spans="1:10" x14ac:dyDescent="0.2">
      <c r="A13" s="2" t="s">
        <v>11</v>
      </c>
      <c r="B13" s="43" t="s">
        <v>79</v>
      </c>
      <c r="C13" s="43" t="s">
        <v>79</v>
      </c>
      <c r="D13" s="43" t="s">
        <v>79</v>
      </c>
      <c r="E13" s="43" t="s">
        <v>79</v>
      </c>
      <c r="F13" s="43">
        <v>2061085.6800000002</v>
      </c>
      <c r="G13" s="43">
        <v>1730694.42</v>
      </c>
      <c r="H13" s="43">
        <v>1505981.0899999999</v>
      </c>
      <c r="I13" s="43">
        <v>2068969.71</v>
      </c>
      <c r="J13" s="43">
        <v>2139404.3400000078</v>
      </c>
    </row>
    <row r="14" spans="1:10" x14ac:dyDescent="0.2">
      <c r="A14" s="2" t="s">
        <v>12</v>
      </c>
      <c r="B14" s="43" t="s">
        <v>79</v>
      </c>
      <c r="C14" s="43" t="s">
        <v>79</v>
      </c>
      <c r="D14" s="43" t="s">
        <v>79</v>
      </c>
      <c r="E14" s="43" t="s">
        <v>79</v>
      </c>
      <c r="F14" s="43">
        <v>62979.320000000007</v>
      </c>
      <c r="G14" s="43">
        <v>37217.31</v>
      </c>
      <c r="H14" s="43">
        <v>49668.94000000001</v>
      </c>
      <c r="I14" s="43">
        <v>53862.12999999999</v>
      </c>
      <c r="J14" s="43">
        <v>52028.769999999953</v>
      </c>
    </row>
    <row r="15" spans="1:10" s="4" customFormat="1" x14ac:dyDescent="0.2">
      <c r="A15" s="3" t="s">
        <v>0</v>
      </c>
      <c r="B15" s="44" t="s">
        <v>79</v>
      </c>
      <c r="C15" s="44" t="s">
        <v>79</v>
      </c>
      <c r="D15" s="44" t="s">
        <v>79</v>
      </c>
      <c r="E15" s="44" t="s">
        <v>79</v>
      </c>
      <c r="F15" s="44">
        <v>5312825.2600000016</v>
      </c>
      <c r="G15" s="44">
        <v>2106009.4600000009</v>
      </c>
      <c r="H15" s="44">
        <v>3792992.5500000003</v>
      </c>
      <c r="I15" s="44">
        <v>4320978.3899999997</v>
      </c>
      <c r="J15" s="44">
        <v>4951469.150000019</v>
      </c>
    </row>
    <row r="17" spans="1:10" x14ac:dyDescent="0.2">
      <c r="A17" s="4" t="s">
        <v>70</v>
      </c>
    </row>
    <row r="18" spans="1:10" ht="3" customHeight="1" x14ac:dyDescent="0.2">
      <c r="A18" s="4"/>
    </row>
    <row r="19" spans="1:10" x14ac:dyDescent="0.2">
      <c r="A19" s="2"/>
      <c r="B19" s="27">
        <v>2016</v>
      </c>
      <c r="C19" s="27">
        <v>2017</v>
      </c>
      <c r="D19" s="27">
        <v>2018</v>
      </c>
      <c r="E19" s="27">
        <v>2019</v>
      </c>
      <c r="F19" s="27">
        <v>2020</v>
      </c>
      <c r="G19" s="27">
        <v>2021</v>
      </c>
      <c r="H19" s="27">
        <v>2022</v>
      </c>
      <c r="I19" s="27">
        <v>2023</v>
      </c>
      <c r="J19" s="27">
        <v>2024</v>
      </c>
    </row>
    <row r="20" spans="1:10" x14ac:dyDescent="0.2">
      <c r="A20" s="2" t="s">
        <v>7</v>
      </c>
      <c r="B20" s="43" t="s">
        <v>79</v>
      </c>
      <c r="C20" s="43" t="s">
        <v>79</v>
      </c>
      <c r="D20" s="43" t="s">
        <v>79</v>
      </c>
      <c r="E20" s="43" t="s">
        <v>79</v>
      </c>
      <c r="F20" s="15">
        <v>12565771.769999998</v>
      </c>
      <c r="G20" s="15">
        <v>16234014.890000008</v>
      </c>
      <c r="H20" s="15">
        <v>16113443.639999999</v>
      </c>
      <c r="I20" s="15">
        <v>13729627.640000002</v>
      </c>
      <c r="J20" s="15">
        <v>15375679.08000003</v>
      </c>
    </row>
    <row r="21" spans="1:10" x14ac:dyDescent="0.2">
      <c r="A21" s="2" t="s">
        <v>8</v>
      </c>
      <c r="B21" s="43" t="s">
        <v>79</v>
      </c>
      <c r="C21" s="43" t="s">
        <v>79</v>
      </c>
      <c r="D21" s="43" t="s">
        <v>79</v>
      </c>
      <c r="E21" s="43" t="s">
        <v>79</v>
      </c>
      <c r="F21" s="15">
        <v>3350168.21</v>
      </c>
      <c r="G21" s="15">
        <v>3289760.9899999998</v>
      </c>
      <c r="H21" s="15">
        <v>3114110.3499999987</v>
      </c>
      <c r="I21" s="15">
        <v>3280696.6</v>
      </c>
      <c r="J21" s="15">
        <v>2801585.2500000014</v>
      </c>
    </row>
    <row r="22" spans="1:10" x14ac:dyDescent="0.2">
      <c r="A22" s="2" t="s">
        <v>9</v>
      </c>
      <c r="B22" s="43" t="s">
        <v>79</v>
      </c>
      <c r="C22" s="43" t="s">
        <v>79</v>
      </c>
      <c r="D22" s="43" t="s">
        <v>79</v>
      </c>
      <c r="E22" s="43" t="s">
        <v>79</v>
      </c>
      <c r="F22" s="15">
        <v>21345652.859999996</v>
      </c>
      <c r="G22" s="15">
        <v>16256593.429999998</v>
      </c>
      <c r="H22" s="15">
        <v>13767720.41</v>
      </c>
      <c r="I22" s="15">
        <v>23613555.670000009</v>
      </c>
      <c r="J22" s="15">
        <v>15733363.990000008</v>
      </c>
    </row>
    <row r="23" spans="1:10" x14ac:dyDescent="0.2">
      <c r="A23" s="2" t="s">
        <v>10</v>
      </c>
      <c r="B23" s="43" t="s">
        <v>79</v>
      </c>
      <c r="C23" s="43" t="s">
        <v>79</v>
      </c>
      <c r="D23" s="43" t="s">
        <v>79</v>
      </c>
      <c r="E23" s="43" t="s">
        <v>79</v>
      </c>
      <c r="F23" s="15">
        <v>15369603.43</v>
      </c>
      <c r="G23" s="15">
        <v>16104312.01</v>
      </c>
      <c r="H23" s="15">
        <v>21140720.420000002</v>
      </c>
      <c r="I23" s="15">
        <v>13712873.199999999</v>
      </c>
      <c r="J23" s="15">
        <v>19139776.63000004</v>
      </c>
    </row>
    <row r="24" spans="1:10" x14ac:dyDescent="0.2">
      <c r="A24" s="2" t="s">
        <v>11</v>
      </c>
      <c r="B24" s="43" t="s">
        <v>79</v>
      </c>
      <c r="C24" s="43" t="s">
        <v>79</v>
      </c>
      <c r="D24" s="43" t="s">
        <v>79</v>
      </c>
      <c r="E24" s="43" t="s">
        <v>79</v>
      </c>
      <c r="F24" s="15">
        <v>48058254.269999996</v>
      </c>
      <c r="G24" s="15">
        <v>43805581.579999998</v>
      </c>
      <c r="H24" s="15">
        <v>39872784.009999998</v>
      </c>
      <c r="I24" s="15">
        <v>66646277.320000015</v>
      </c>
      <c r="J24" s="15">
        <v>47691866.600000024</v>
      </c>
    </row>
    <row r="25" spans="1:10" x14ac:dyDescent="0.2">
      <c r="A25" s="2" t="s">
        <v>12</v>
      </c>
      <c r="B25" s="43" t="s">
        <v>79</v>
      </c>
      <c r="C25" s="43" t="s">
        <v>79</v>
      </c>
      <c r="D25" s="43" t="s">
        <v>79</v>
      </c>
      <c r="E25" s="43" t="s">
        <v>79</v>
      </c>
      <c r="F25" s="15">
        <v>333379.95999999996</v>
      </c>
      <c r="G25" s="15">
        <v>541589.6100000001</v>
      </c>
      <c r="H25" s="15">
        <v>820075.86999999965</v>
      </c>
      <c r="I25" s="15">
        <v>774593.97999999963</v>
      </c>
      <c r="J25" s="15">
        <v>600131.45999999973</v>
      </c>
    </row>
    <row r="26" spans="1:10" s="4" customFormat="1" x14ac:dyDescent="0.2">
      <c r="A26" s="3" t="s">
        <v>0</v>
      </c>
      <c r="B26" s="44" t="s">
        <v>79</v>
      </c>
      <c r="C26" s="44" t="s">
        <v>79</v>
      </c>
      <c r="D26" s="44" t="s">
        <v>79</v>
      </c>
      <c r="E26" s="44" t="s">
        <v>79</v>
      </c>
      <c r="F26" s="16">
        <v>101022830.49999999</v>
      </c>
      <c r="G26" s="16">
        <v>96231852.510000005</v>
      </c>
      <c r="H26" s="16">
        <v>94828854.700000003</v>
      </c>
      <c r="I26" s="16">
        <v>121757624.41000001</v>
      </c>
      <c r="J26" s="16">
        <v>101342403.01000009</v>
      </c>
    </row>
    <row r="28" spans="1:10" x14ac:dyDescent="0.2">
      <c r="A28" s="4" t="s">
        <v>71</v>
      </c>
    </row>
    <row r="29" spans="1:10" ht="3" customHeight="1" x14ac:dyDescent="0.2">
      <c r="A29" s="4"/>
    </row>
    <row r="30" spans="1:10" x14ac:dyDescent="0.2">
      <c r="A30" s="3"/>
      <c r="B30" s="27">
        <v>2016</v>
      </c>
      <c r="C30" s="27">
        <v>2017</v>
      </c>
      <c r="D30" s="27">
        <v>2018</v>
      </c>
      <c r="E30" s="27">
        <v>2019</v>
      </c>
      <c r="F30" s="27">
        <v>2020</v>
      </c>
      <c r="G30" s="27">
        <v>2021</v>
      </c>
      <c r="H30" s="27">
        <v>2022</v>
      </c>
      <c r="I30" s="27">
        <v>2023</v>
      </c>
      <c r="J30" s="27">
        <v>2024</v>
      </c>
    </row>
    <row r="31" spans="1:10" x14ac:dyDescent="0.2">
      <c r="A31" s="2" t="s">
        <v>7</v>
      </c>
      <c r="B31" s="43" t="s">
        <v>79</v>
      </c>
      <c r="C31" s="43" t="s">
        <v>79</v>
      </c>
      <c r="D31" s="43" t="s">
        <v>79</v>
      </c>
      <c r="E31" s="43" t="s">
        <v>79</v>
      </c>
      <c r="F31" s="24">
        <f t="shared" ref="F31" si="0">F20/F26*100</f>
        <v>12.438546522412079</v>
      </c>
      <c r="G31" s="24">
        <f t="shared" ref="G31:H31" si="1">G20/G26*100</f>
        <v>16.869689678179103</v>
      </c>
      <c r="H31" s="24">
        <f t="shared" si="1"/>
        <v>16.992131446674531</v>
      </c>
      <c r="I31" s="24">
        <f t="shared" ref="I31:J31" si="2">I20/I26*100</f>
        <v>11.276195397643107</v>
      </c>
      <c r="J31" s="51">
        <f t="shared" si="2"/>
        <v>15.172009566896508</v>
      </c>
    </row>
    <row r="32" spans="1:10" x14ac:dyDescent="0.2">
      <c r="A32" s="2" t="s">
        <v>8</v>
      </c>
      <c r="B32" s="43" t="s">
        <v>79</v>
      </c>
      <c r="C32" s="43" t="s">
        <v>79</v>
      </c>
      <c r="D32" s="43" t="s">
        <v>79</v>
      </c>
      <c r="E32" s="43" t="s">
        <v>79</v>
      </c>
      <c r="F32" s="24">
        <f t="shared" ref="F32" si="3">F21/F26*100</f>
        <v>3.3162486077837632</v>
      </c>
      <c r="G32" s="24">
        <f t="shared" ref="G32:H32" si="4">G21/G26*100</f>
        <v>3.4185780531016396</v>
      </c>
      <c r="H32" s="24">
        <f t="shared" si="4"/>
        <v>3.2839269859915312</v>
      </c>
      <c r="I32" s="24">
        <f t="shared" ref="I32:J32" si="5">I21/I26*100</f>
        <v>2.6944485948188022</v>
      </c>
      <c r="J32" s="51">
        <f t="shared" si="5"/>
        <v>2.7644748563180914</v>
      </c>
    </row>
    <row r="33" spans="1:10" x14ac:dyDescent="0.2">
      <c r="A33" s="2" t="s">
        <v>9</v>
      </c>
      <c r="B33" s="43" t="s">
        <v>79</v>
      </c>
      <c r="C33" s="43" t="s">
        <v>79</v>
      </c>
      <c r="D33" s="43" t="s">
        <v>79</v>
      </c>
      <c r="E33" s="43" t="s">
        <v>79</v>
      </c>
      <c r="F33" s="24">
        <f t="shared" ref="F33" si="6">F22/F26*100</f>
        <v>21.129533546379893</v>
      </c>
      <c r="G33" s="24">
        <f t="shared" ref="G33:H33" si="7">G22/G26*100</f>
        <v>16.893152325328746</v>
      </c>
      <c r="H33" s="24">
        <f t="shared" si="7"/>
        <v>14.518492766316198</v>
      </c>
      <c r="I33" s="24">
        <f t="shared" ref="I33:J33" si="8">I22/I26*100</f>
        <v>19.393903079518868</v>
      </c>
      <c r="J33" s="51">
        <f t="shared" si="8"/>
        <v>15.52495650655481</v>
      </c>
    </row>
    <row r="34" spans="1:10" x14ac:dyDescent="0.2">
      <c r="A34" s="2" t="s">
        <v>10</v>
      </c>
      <c r="B34" s="43" t="s">
        <v>79</v>
      </c>
      <c r="C34" s="43" t="s">
        <v>79</v>
      </c>
      <c r="D34" s="43" t="s">
        <v>79</v>
      </c>
      <c r="E34" s="43" t="s">
        <v>79</v>
      </c>
      <c r="F34" s="24">
        <f t="shared" ref="F34" si="9">F23/F26*100</f>
        <v>15.213990099000446</v>
      </c>
      <c r="G34" s="24">
        <f t="shared" ref="G34:H34" si="10">G23/G26*100</f>
        <v>16.734908026764327</v>
      </c>
      <c r="H34" s="24">
        <f t="shared" si="10"/>
        <v>22.293552407524757</v>
      </c>
      <c r="I34" s="24">
        <f t="shared" ref="I34:J34" si="11">I23/I26*100</f>
        <v>11.262434912350141</v>
      </c>
      <c r="J34" s="51">
        <f t="shared" si="11"/>
        <v>18.886247080712501</v>
      </c>
    </row>
    <row r="35" spans="1:10" x14ac:dyDescent="0.2">
      <c r="A35" s="2" t="s">
        <v>11</v>
      </c>
      <c r="B35" s="43" t="s">
        <v>79</v>
      </c>
      <c r="C35" s="43" t="s">
        <v>79</v>
      </c>
      <c r="D35" s="43" t="s">
        <v>79</v>
      </c>
      <c r="E35" s="43" t="s">
        <v>79</v>
      </c>
      <c r="F35" s="24">
        <f t="shared" ref="F35" si="12">F24/F26*100</f>
        <v>47.571676651843568</v>
      </c>
      <c r="G35" s="24">
        <f t="shared" ref="G35:H35" si="13">G24/G26*100</f>
        <v>45.520875300044658</v>
      </c>
      <c r="H35" s="24">
        <f t="shared" si="13"/>
        <v>42.047100680632809</v>
      </c>
      <c r="I35" s="24">
        <f t="shared" ref="I35:J35" si="14">I24/I26*100</f>
        <v>54.736841033937189</v>
      </c>
      <c r="J35" s="51">
        <f t="shared" si="14"/>
        <v>47.060129998391659</v>
      </c>
    </row>
    <row r="36" spans="1:10" x14ac:dyDescent="0.2">
      <c r="A36" s="2" t="s">
        <v>12</v>
      </c>
      <c r="B36" s="43" t="s">
        <v>79</v>
      </c>
      <c r="C36" s="43" t="s">
        <v>79</v>
      </c>
      <c r="D36" s="43" t="s">
        <v>79</v>
      </c>
      <c r="E36" s="43" t="s">
        <v>79</v>
      </c>
      <c r="F36" s="24">
        <f t="shared" ref="F36" si="15">F25/F26*100</f>
        <v>0.33000457258025456</v>
      </c>
      <c r="G36" s="24">
        <f t="shared" ref="G36:H36" si="16">G25/G26*100</f>
        <v>0.56279661658152158</v>
      </c>
      <c r="H36" s="24">
        <f t="shared" si="16"/>
        <v>0.86479571286016987</v>
      </c>
      <c r="I36" s="24">
        <f t="shared" ref="I36:J36" si="17">I25/I26*100</f>
        <v>0.63617698173189874</v>
      </c>
      <c r="J36" s="51">
        <f t="shared" si="17"/>
        <v>0.59218199112643988</v>
      </c>
    </row>
    <row r="37" spans="1:10" x14ac:dyDescent="0.2">
      <c r="A37" s="3" t="s">
        <v>0</v>
      </c>
      <c r="B37" s="44" t="s">
        <v>79</v>
      </c>
      <c r="C37" s="44" t="s">
        <v>79</v>
      </c>
      <c r="D37" s="44" t="s">
        <v>79</v>
      </c>
      <c r="E37" s="44" t="s">
        <v>79</v>
      </c>
      <c r="F37" s="23">
        <f t="shared" ref="F37" si="18">F26/F26*100</f>
        <v>100</v>
      </c>
      <c r="G37" s="23">
        <f t="shared" ref="G37:H37" si="19">G26/G26*100</f>
        <v>100</v>
      </c>
      <c r="H37" s="23">
        <f t="shared" si="19"/>
        <v>100</v>
      </c>
      <c r="I37" s="23">
        <f t="shared" ref="I37:J37" si="20">I26/I26*100</f>
        <v>100</v>
      </c>
      <c r="J37" s="52">
        <f t="shared" si="20"/>
        <v>100</v>
      </c>
    </row>
    <row r="39" spans="1:10" x14ac:dyDescent="0.2">
      <c r="A39" s="4" t="s">
        <v>72</v>
      </c>
    </row>
    <row r="40" spans="1:10" ht="3" customHeight="1" x14ac:dyDescent="0.2">
      <c r="A40" s="4"/>
    </row>
    <row r="41" spans="1:10" x14ac:dyDescent="0.2">
      <c r="A41" s="3"/>
      <c r="B41" s="27">
        <v>2016</v>
      </c>
      <c r="C41" s="27">
        <v>2017</v>
      </c>
      <c r="D41" s="27">
        <v>2018</v>
      </c>
      <c r="E41" s="27">
        <v>2019</v>
      </c>
      <c r="F41" s="27">
        <v>2020</v>
      </c>
      <c r="G41" s="27">
        <v>2021</v>
      </c>
      <c r="H41" s="27">
        <v>2022</v>
      </c>
      <c r="I41" s="27">
        <v>2023</v>
      </c>
      <c r="J41" s="27">
        <v>2024</v>
      </c>
    </row>
    <row r="42" spans="1:10" x14ac:dyDescent="0.2">
      <c r="A42" s="2" t="s">
        <v>7</v>
      </c>
      <c r="B42" s="43" t="s">
        <v>79</v>
      </c>
      <c r="C42" s="43" t="s">
        <v>79</v>
      </c>
      <c r="D42" s="43" t="s">
        <v>79</v>
      </c>
      <c r="E42" s="43" t="s">
        <v>79</v>
      </c>
      <c r="F42" s="14">
        <f t="shared" ref="F42" si="21">F20/F9</f>
        <v>25.8125625733887</v>
      </c>
      <c r="G42" s="14">
        <f t="shared" ref="G42:H42" si="22">G20/G9</f>
        <v>31.914982704312838</v>
      </c>
      <c r="H42" s="14">
        <f t="shared" si="22"/>
        <v>34.428705600707964</v>
      </c>
      <c r="I42" s="14">
        <f t="shared" ref="I42:J42" si="23">I20/I9</f>
        <v>34.011484847930859</v>
      </c>
      <c r="J42" s="14">
        <f t="shared" si="23"/>
        <v>34.848165666778243</v>
      </c>
    </row>
    <row r="43" spans="1:10" x14ac:dyDescent="0.2">
      <c r="A43" s="2" t="s">
        <v>8</v>
      </c>
      <c r="B43" s="43" t="s">
        <v>79</v>
      </c>
      <c r="C43" s="43" t="s">
        <v>79</v>
      </c>
      <c r="D43" s="43" t="s">
        <v>79</v>
      </c>
      <c r="E43" s="43" t="s">
        <v>79</v>
      </c>
      <c r="F43" s="14">
        <f t="shared" ref="F43:F48" si="24">F21/F10</f>
        <v>8.655112654198593</v>
      </c>
      <c r="G43" s="14">
        <f t="shared" ref="G43:H43" si="25">G21/G10</f>
        <v>11.5187213654507</v>
      </c>
      <c r="H43" s="14">
        <f t="shared" si="25"/>
        <v>14.456651567258575</v>
      </c>
      <c r="I43" s="14">
        <f t="shared" ref="I43:J43" si="26">I21/I10</f>
        <v>14.739244668974516</v>
      </c>
      <c r="J43" s="14">
        <f t="shared" si="26"/>
        <v>11.283483013991425</v>
      </c>
    </row>
    <row r="44" spans="1:10" x14ac:dyDescent="0.2">
      <c r="A44" s="2" t="s">
        <v>9</v>
      </c>
      <c r="B44" s="43" t="s">
        <v>79</v>
      </c>
      <c r="C44" s="43" t="s">
        <v>79</v>
      </c>
      <c r="D44" s="43" t="s">
        <v>79</v>
      </c>
      <c r="E44" s="43" t="s">
        <v>79</v>
      </c>
      <c r="F44" s="14">
        <f t="shared" si="24"/>
        <v>16.651791308175873</v>
      </c>
      <c r="G44" s="14">
        <f t="shared" ref="G44:H44" si="27">G22/G11</f>
        <v>19.797866039419354</v>
      </c>
      <c r="H44" s="14">
        <f t="shared" si="27"/>
        <v>19.852275780588212</v>
      </c>
      <c r="I44" s="14">
        <f t="shared" ref="I44:J44" si="28">I22/I11</f>
        <v>28.919110657543126</v>
      </c>
      <c r="J44" s="14">
        <f t="shared" si="28"/>
        <v>19.161548602649503</v>
      </c>
    </row>
    <row r="45" spans="1:10" x14ac:dyDescent="0.2">
      <c r="A45" s="2" t="s">
        <v>10</v>
      </c>
      <c r="B45" s="43" t="s">
        <v>79</v>
      </c>
      <c r="C45" s="43" t="s">
        <v>79</v>
      </c>
      <c r="D45" s="43" t="s">
        <v>79</v>
      </c>
      <c r="E45" s="43" t="s">
        <v>79</v>
      </c>
      <c r="F45" s="14">
        <f t="shared" si="24"/>
        <v>14.878685660245887</v>
      </c>
      <c r="G45" s="14">
        <f t="shared" ref="G45:H45" si="29">G23/G12</f>
        <v>19.213484123173902</v>
      </c>
      <c r="H45" s="14">
        <f t="shared" si="29"/>
        <v>24.570793913410405</v>
      </c>
      <c r="I45" s="14">
        <f t="shared" ref="I45:J45" si="30">I23/I12</f>
        <v>18.154334371854354</v>
      </c>
      <c r="J45" s="14">
        <f t="shared" si="30"/>
        <v>15.318737775380495</v>
      </c>
    </row>
    <row r="46" spans="1:10" x14ac:dyDescent="0.2">
      <c r="A46" s="2" t="s">
        <v>11</v>
      </c>
      <c r="B46" s="43" t="s">
        <v>79</v>
      </c>
      <c r="C46" s="43" t="s">
        <v>79</v>
      </c>
      <c r="D46" s="43" t="s">
        <v>79</v>
      </c>
      <c r="E46" s="43" t="s">
        <v>79</v>
      </c>
      <c r="F46" s="14">
        <f t="shared" si="24"/>
        <v>23.316960928087177</v>
      </c>
      <c r="G46" s="14">
        <f t="shared" ref="G46:H46" si="31">G24/G13</f>
        <v>25.310985621598064</v>
      </c>
      <c r="H46" s="14">
        <f t="shared" si="31"/>
        <v>26.476284645778655</v>
      </c>
      <c r="I46" s="14">
        <f t="shared" ref="I46:J46" si="32">I24/I13</f>
        <v>32.212302093103148</v>
      </c>
      <c r="J46" s="14">
        <f t="shared" si="32"/>
        <v>22.292123890895656</v>
      </c>
    </row>
    <row r="47" spans="1:10" x14ac:dyDescent="0.2">
      <c r="A47" s="2" t="s">
        <v>12</v>
      </c>
      <c r="B47" s="43" t="s">
        <v>79</v>
      </c>
      <c r="C47" s="43" t="s">
        <v>79</v>
      </c>
      <c r="D47" s="43" t="s">
        <v>79</v>
      </c>
      <c r="E47" s="43" t="s">
        <v>79</v>
      </c>
      <c r="F47" s="14">
        <f t="shared" si="24"/>
        <v>5.2934830036272214</v>
      </c>
      <c r="G47" s="14">
        <f t="shared" ref="G47:H47" si="33">G25/G14</f>
        <v>14.552089068231963</v>
      </c>
      <c r="H47" s="14">
        <f t="shared" si="33"/>
        <v>16.51083896696808</v>
      </c>
      <c r="I47" s="14">
        <f t="shared" ref="I47:J47" si="34">I25/I14</f>
        <v>14.381049913919107</v>
      </c>
      <c r="J47" s="14">
        <f t="shared" si="34"/>
        <v>11.534607871760187</v>
      </c>
    </row>
    <row r="48" spans="1:10" x14ac:dyDescent="0.2">
      <c r="A48" s="3" t="s">
        <v>0</v>
      </c>
      <c r="B48" s="44" t="s">
        <v>79</v>
      </c>
      <c r="C48" s="44" t="s">
        <v>79</v>
      </c>
      <c r="D48" s="44" t="s">
        <v>79</v>
      </c>
      <c r="E48" s="44" t="s">
        <v>79</v>
      </c>
      <c r="F48" s="19">
        <f t="shared" si="24"/>
        <v>19.014898016803954</v>
      </c>
      <c r="G48" s="19">
        <f t="shared" ref="G48:H48" si="35">G26/G15</f>
        <v>45.693931740458545</v>
      </c>
      <c r="H48" s="19">
        <f t="shared" si="35"/>
        <v>25.001065372511739</v>
      </c>
      <c r="I48" s="19">
        <f t="shared" ref="I48:J48" si="36">I26/I15</f>
        <v>28.178253492723442</v>
      </c>
      <c r="J48" s="19">
        <f t="shared" si="36"/>
        <v>20.467138124045405</v>
      </c>
    </row>
    <row r="49" spans="1:1" x14ac:dyDescent="0.2">
      <c r="A49" s="35" t="s">
        <v>77</v>
      </c>
    </row>
    <row r="50" spans="1:1" x14ac:dyDescent="0.2">
      <c r="A50" s="35" t="s">
        <v>84</v>
      </c>
    </row>
    <row r="51" spans="1:1" x14ac:dyDescent="0.2">
      <c r="A51" s="35"/>
    </row>
    <row r="52" spans="1:1" x14ac:dyDescent="0.2">
      <c r="A52" s="35"/>
    </row>
    <row r="54" spans="1:1" x14ac:dyDescent="0.2">
      <c r="A54" s="35"/>
    </row>
  </sheetData>
  <hyperlinks>
    <hyperlink ref="A2" location="Sommaire!A5" display="Retour au menu &quot;Marché du jeu vidéo&quot;" xr:uid="{4B825008-7FAE-4F6F-9862-9A35AF337F49}"/>
  </hyperlinks>
  <pageMargins left="0.78740157480314965" right="0.78740157480314965" top="0.98425196850393704" bottom="0.98425196850393704" header="0.51181102362204722" footer="0.51181102362204722"/>
  <pageSetup paperSize="9" orientation="portrait" r:id="rId1"/>
  <headerFooter alignWithMargins="0">
    <oddFooter>&amp;L&amp;G&amp;R&amp;"Arial,Gras italique"&amp;9Marché du jeu vidéo</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5980-8010-42E5-A273-43ACB2423509}">
  <dimension ref="A1"/>
  <sheetViews>
    <sheetView workbookViewId="0"/>
  </sheetViews>
  <sheetFormatPr baseColWidth="10" defaultRowHeight="12.75"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9</vt:i4>
      </vt:variant>
      <vt:variant>
        <vt:lpstr>Plages nommées</vt:lpstr>
      </vt:variant>
      <vt:variant>
        <vt:i4>12</vt:i4>
      </vt:variant>
    </vt:vector>
  </HeadingPairs>
  <TitlesOfParts>
    <vt:vector size="21" baseType="lpstr">
      <vt:lpstr>Sommaire</vt:lpstr>
      <vt:lpstr>Définitions</vt:lpstr>
      <vt:lpstr>écosysteme</vt:lpstr>
      <vt:lpstr>segment</vt:lpstr>
      <vt:lpstr>logiciel</vt:lpstr>
      <vt:lpstr>genreConsole</vt:lpstr>
      <vt:lpstr>genrePC</vt:lpstr>
      <vt:lpstr>PEGIConsole</vt:lpstr>
      <vt:lpstr>PEGIPC</vt:lpstr>
      <vt:lpstr>écosysteme!Impression_des_titres</vt:lpstr>
      <vt:lpstr>genreConsole!Impression_des_titres</vt:lpstr>
      <vt:lpstr>genrePC!Impression_des_titres</vt:lpstr>
      <vt:lpstr>logiciel!Impression_des_titres</vt:lpstr>
      <vt:lpstr>segment!Impression_des_titres</vt:lpstr>
      <vt:lpstr>écosysteme!Zone_d_impression</vt:lpstr>
      <vt:lpstr>genreConsole!Zone_d_impression</vt:lpstr>
      <vt:lpstr>genrePC!Zone_d_impression</vt:lpstr>
      <vt:lpstr>logiciel!Zone_d_impression</vt:lpstr>
      <vt:lpstr>PEGIConsole!Zone_d_impression</vt:lpstr>
      <vt:lpstr>PEGIPC!Zone_d_impression</vt:lpstr>
      <vt:lpstr>segment!Zone_d_impression</vt:lpstr>
    </vt:vector>
  </TitlesOfParts>
  <Company>CNC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MALHERBE</dc:creator>
  <cp:lastModifiedBy>Melih CETINKAYA</cp:lastModifiedBy>
  <cp:lastPrinted>2013-07-15T10:53:04Z</cp:lastPrinted>
  <dcterms:created xsi:type="dcterms:W3CDTF">2010-10-19T14:11:41Z</dcterms:created>
  <dcterms:modified xsi:type="dcterms:W3CDTF">2025-11-26T07:32:28Z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SRI_WORKBOOK_ID">
    <vt:lpwstr>cda10466c92a415cbafab796adbc8787</vt:lpwstr>
  </property>
</Properties>
</file>